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vero/Library/CloudStorage/GoogleDrive-observatorio.pobreza@flacso.edu.ec/Mi unidad/Boletín 2/Resultados/Movilidad y concentracion/"/>
    </mc:Choice>
  </mc:AlternateContent>
  <xr:revisionPtr revIDLastSave="0" documentId="13_ncr:1_{C9D5E935-318C-2648-9E15-3A48DE0EAB54}" xr6:coauthVersionLast="47" xr6:coauthVersionMax="47" xr10:uidLastSave="{00000000-0000-0000-0000-000000000000}"/>
  <bookViews>
    <workbookView xWindow="0" yWindow="600" windowWidth="28800" windowHeight="17400" activeTab="4" xr2:uid="{00000000-000D-0000-FFFF-FFFF00000000}"/>
  </bookViews>
  <sheets>
    <sheet name="Concentracion Pretax" sheetId="1" r:id="rId1"/>
    <sheet name="Indice de palma" sheetId="2" r:id="rId2"/>
    <sheet name="Gini" sheetId="4" r:id="rId3"/>
    <sheet name="Capital - All Percentages" sheetId="3" r:id="rId4"/>
    <sheet name="Mat_trans" sheetId="5" r:id="rId5"/>
  </sheets>
  <definedNames>
    <definedName name="_xlchart.v1.10" hidden="1">Gini!$C$1</definedName>
    <definedName name="_xlchart.v1.11" hidden="1">Gini!$C$2:$C$16</definedName>
    <definedName name="_xlchart.v1.6" hidden="1">Gini!$A$1</definedName>
    <definedName name="_xlchart.v1.7" hidden="1">Gini!$A$2:$A$16</definedName>
    <definedName name="_xlchart.v1.8" hidden="1">Gini!$B$1</definedName>
    <definedName name="_xlchart.v1.9" hidden="1">Gini!$B$2:$B$16</definedName>
    <definedName name="_xlchart.v2.0" hidden="1">Gini!$A$1</definedName>
    <definedName name="_xlchart.v2.1" hidden="1">Gini!$A$2:$A$16</definedName>
    <definedName name="_xlchart.v2.2" hidden="1">Gini!$B$1</definedName>
    <definedName name="_xlchart.v2.3" hidden="1">Gini!$B$2:$B$16</definedName>
    <definedName name="_xlchart.v2.4" hidden="1">Gini!$C$1</definedName>
    <definedName name="_xlchart.v2.5" hidden="1">Gini!$C$2:$C$16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3" i="2"/>
</calcChain>
</file>

<file path=xl/sharedStrings.xml><?xml version="1.0" encoding="utf-8"?>
<sst xmlns="http://schemas.openxmlformats.org/spreadsheetml/2006/main" count="56" uniqueCount="35">
  <si>
    <t>Año</t>
  </si>
  <si>
    <t>P999-P100: % del total</t>
  </si>
  <si>
    <t>P99-P100: % del total</t>
  </si>
  <si>
    <t>P95-P100: % del total</t>
  </si>
  <si>
    <t>P90-P100: % del total</t>
  </si>
  <si>
    <t>P50-P90: % del total</t>
  </si>
  <si>
    <t>P1-P99: % del total</t>
  </si>
  <si>
    <t>P1-P90: % del total</t>
  </si>
  <si>
    <t>P1-P50: % del total</t>
  </si>
  <si>
    <t>P1-P40: % del total</t>
  </si>
  <si>
    <t>P1-P35: % del total</t>
  </si>
  <si>
    <t>P1-P30: % del total</t>
  </si>
  <si>
    <t>P1-P20: % del total</t>
  </si>
  <si>
    <t>P1-P10: % del total</t>
  </si>
  <si>
    <t>Total: % del total</t>
  </si>
  <si>
    <t>0.1% más rico</t>
  </si>
  <si>
    <t>1% más rico</t>
  </si>
  <si>
    <t>10% más rico</t>
  </si>
  <si>
    <t>Clase media (P50-P90)</t>
  </si>
  <si>
    <t>50% más pobre</t>
  </si>
  <si>
    <t>35% más pobre</t>
  </si>
  <si>
    <t>Antes de impuestos</t>
  </si>
  <si>
    <t>Después de impuestos</t>
  </si>
  <si>
    <t>Decil de Destino (2024)</t>
  </si>
  <si>
    <t>Decil
2010 \ 2024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</si>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</sst>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F4E7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/>
      <bottom/>
      <diagonal/>
    </border>
    <border>
      <left/>
      <right/>
      <top/>
      <bottom style="thin">
        <color rgb="FFB0C4D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0" fillId="0" borderId="0" xfId="1" applyNumberFormat="1" applyFont="1"/>
    <xf numFmtId="0" fontId="4" fillId="0" borderId="0" xfId="0" applyFont="1"/>
    <xf numFmtId="2" fontId="0" fillId="0" borderId="0" xfId="0" applyNumberFormat="1"/>
    <xf numFmtId="2" fontId="4" fillId="0" borderId="0" xfId="0" applyNumberFormat="1" applyFont="1"/>
    <xf numFmtId="1" fontId="4" fillId="0" borderId="0" xfId="0" applyNumberFormat="1" applyFo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5" borderId="0" xfId="0" applyFill="1"/>
    <xf numFmtId="0" fontId="5" fillId="6" borderId="0" xfId="0" applyFont="1" applyFill="1" applyAlignment="1">
      <alignment horizontal="center" vertical="center"/>
    </xf>
    <xf numFmtId="0" fontId="0" fillId="0" borderId="0" xfId="0"/>
    <xf numFmtId="0" fontId="6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172" fontId="7" fillId="7" borderId="4" xfId="0" applyNumberFormat="1" applyFont="1" applyFill="1" applyBorder="1" applyAlignment="1">
      <alignment horizontal="center" vertical="center"/>
    </xf>
    <xf numFmtId="172" fontId="2" fillId="8" borderId="4" xfId="0" applyNumberFormat="1" applyFont="1" applyFill="1" applyBorder="1" applyAlignment="1">
      <alignment horizontal="center" vertical="center"/>
    </xf>
    <xf numFmtId="172" fontId="2" fillId="9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'Concentracion Pretax'!$B$1</c:f>
              <c:strCache>
                <c:ptCount val="1"/>
                <c:pt idx="0">
                  <c:v>0.1% más rico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'Concentracion Pretax'!$A$2:$A$16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'Concentracion Pretax'!$B$2:$B$16</c:f>
              <c:numCache>
                <c:formatCode>0.00%</c:formatCode>
                <c:ptCount val="15"/>
                <c:pt idx="0">
                  <c:v>4.117250031592324E-2</c:v>
                </c:pt>
                <c:pt idx="1">
                  <c:v>5.3311945161624068E-2</c:v>
                </c:pt>
                <c:pt idx="2">
                  <c:v>4.9758195114072257E-2</c:v>
                </c:pt>
                <c:pt idx="3">
                  <c:v>4.6892693448886927E-2</c:v>
                </c:pt>
                <c:pt idx="4">
                  <c:v>6.064970852305368E-2</c:v>
                </c:pt>
                <c:pt idx="5">
                  <c:v>4.5564921208044867E-2</c:v>
                </c:pt>
                <c:pt idx="6">
                  <c:v>4.9307695264503147E-2</c:v>
                </c:pt>
                <c:pt idx="7">
                  <c:v>4.7449261509294953E-2</c:v>
                </c:pt>
                <c:pt idx="8">
                  <c:v>4.5624814516639522E-2</c:v>
                </c:pt>
                <c:pt idx="9">
                  <c:v>5.0540715804061317E-2</c:v>
                </c:pt>
                <c:pt idx="10">
                  <c:v>3.9876371509776368E-2</c:v>
                </c:pt>
                <c:pt idx="11">
                  <c:v>5.2706789687595207E-2</c:v>
                </c:pt>
                <c:pt idx="12">
                  <c:v>5.2432156030627793E-2</c:v>
                </c:pt>
                <c:pt idx="13">
                  <c:v>4.8368297699316033E-2</c:v>
                </c:pt>
                <c:pt idx="14">
                  <c:v>6.3904974650103433E-2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2-CE44-B273-8991D7F2B118}"/>
            </c:ext>
          </c:extLst>
        </c:ser>
        <c:ser>
          <c:idx val="1"/>
          <c:order val="1"/>
          <c:tx>
            <c:strRef>
              <c:f>'Concentracion Pretax'!$C$1</c:f>
              <c:strCache>
                <c:ptCount val="1"/>
                <c:pt idx="0">
                  <c:v>1% más rico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'Concentracion Pretax'!$A$2:$A$16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'Concentracion Pretax'!$C$2:$C$16</c:f>
              <c:numCache>
                <c:formatCode>0.00%</c:formatCode>
                <c:ptCount val="15"/>
                <c:pt idx="0">
                  <c:v>0.1203806243676795</c:v>
                </c:pt>
                <c:pt idx="1">
                  <c:v>0.13249904708340171</c:v>
                </c:pt>
                <c:pt idx="2">
                  <c:v>0.13064085672727929</c:v>
                </c:pt>
                <c:pt idx="3">
                  <c:v>0.12738952217097779</c:v>
                </c:pt>
                <c:pt idx="4">
                  <c:v>0.1420646735919977</c:v>
                </c:pt>
                <c:pt idx="5">
                  <c:v>0.13059790234908011</c:v>
                </c:pt>
                <c:pt idx="6">
                  <c:v>0.13370817603702351</c:v>
                </c:pt>
                <c:pt idx="7">
                  <c:v>0.129820475290606</c:v>
                </c:pt>
                <c:pt idx="8">
                  <c:v>0.12802777988361611</c:v>
                </c:pt>
                <c:pt idx="9">
                  <c:v>0.13015204158091029</c:v>
                </c:pt>
                <c:pt idx="10">
                  <c:v>0.1191454854675793</c:v>
                </c:pt>
                <c:pt idx="11">
                  <c:v>0.14363845766821709</c:v>
                </c:pt>
                <c:pt idx="12">
                  <c:v>0.1439888093240537</c:v>
                </c:pt>
                <c:pt idx="13">
                  <c:v>0.14012197963834189</c:v>
                </c:pt>
                <c:pt idx="14">
                  <c:v>0.1489840927560396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2-CE44-B273-8991D7F2B118}"/>
            </c:ext>
          </c:extLst>
        </c:ser>
        <c:ser>
          <c:idx val="2"/>
          <c:order val="2"/>
          <c:tx>
            <c:strRef>
              <c:f>'Concentracion Pretax'!$D$1</c:f>
              <c:strCache>
                <c:ptCount val="1"/>
                <c:pt idx="0">
                  <c:v>10% más rico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'Concentracion Pretax'!$A$2:$A$16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'Concentracion Pretax'!$D$2:$D$16</c:f>
              <c:numCache>
                <c:formatCode>0.00%</c:formatCode>
                <c:ptCount val="15"/>
                <c:pt idx="0">
                  <c:v>0.40914167995011019</c:v>
                </c:pt>
                <c:pt idx="1">
                  <c:v>0.41573131896183008</c:v>
                </c:pt>
                <c:pt idx="2">
                  <c:v>0.41232006798146759</c:v>
                </c:pt>
                <c:pt idx="3">
                  <c:v>0.40974649679897829</c:v>
                </c:pt>
                <c:pt idx="4">
                  <c:v>0.42000980067366689</c:v>
                </c:pt>
                <c:pt idx="5">
                  <c:v>0.41291065155300988</c:v>
                </c:pt>
                <c:pt idx="6">
                  <c:v>0.41446059123778989</c:v>
                </c:pt>
                <c:pt idx="7">
                  <c:v>0.40954316930625129</c:v>
                </c:pt>
                <c:pt idx="8">
                  <c:v>0.40567150791443291</c:v>
                </c:pt>
                <c:pt idx="9">
                  <c:v>0.39396418806294581</c:v>
                </c:pt>
                <c:pt idx="10">
                  <c:v>0.39196606873817541</c:v>
                </c:pt>
                <c:pt idx="11">
                  <c:v>0.41720522977877578</c:v>
                </c:pt>
                <c:pt idx="12">
                  <c:v>0.41850323711056492</c:v>
                </c:pt>
                <c:pt idx="13">
                  <c:v>0.41012801216699879</c:v>
                </c:pt>
                <c:pt idx="14">
                  <c:v>0.40631573492064332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2-CE44-B273-8991D7F2B118}"/>
            </c:ext>
          </c:extLst>
        </c:ser>
        <c:ser>
          <c:idx val="3"/>
          <c:order val="3"/>
          <c:tx>
            <c:strRef>
              <c:f>'Concentracion Pretax'!$E$1</c:f>
              <c:strCache>
                <c:ptCount val="1"/>
                <c:pt idx="0">
                  <c:v>Clase media (P50-P90)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'Concentracion Pretax'!$A$2:$A$16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'Concentracion Pretax'!$E$2:$E$16</c:f>
              <c:numCache>
                <c:formatCode>0.00%</c:formatCode>
                <c:ptCount val="15"/>
                <c:pt idx="0">
                  <c:v>0.44596250924542002</c:v>
                </c:pt>
                <c:pt idx="1">
                  <c:v>0.43937426796957357</c:v>
                </c:pt>
                <c:pt idx="2">
                  <c:v>0.43854822851151082</c:v>
                </c:pt>
                <c:pt idx="3">
                  <c:v>0.43602520883001822</c:v>
                </c:pt>
                <c:pt idx="4">
                  <c:v>0.42591649989334679</c:v>
                </c:pt>
                <c:pt idx="5">
                  <c:v>0.42968255368297847</c:v>
                </c:pt>
                <c:pt idx="6">
                  <c:v>0.42922251002431838</c:v>
                </c:pt>
                <c:pt idx="7">
                  <c:v>0.43230688518082788</c:v>
                </c:pt>
                <c:pt idx="8">
                  <c:v>0.4330569946908111</c:v>
                </c:pt>
                <c:pt idx="9">
                  <c:v>0.4361544050251302</c:v>
                </c:pt>
                <c:pt idx="10">
                  <c:v>0.44236558090447847</c:v>
                </c:pt>
                <c:pt idx="11">
                  <c:v>0.4233639100584245</c:v>
                </c:pt>
                <c:pt idx="12">
                  <c:v>0.42602011940805162</c:v>
                </c:pt>
                <c:pt idx="13">
                  <c:v>0.42871375706505749</c:v>
                </c:pt>
                <c:pt idx="14">
                  <c:v>0.429786868683317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2-CE44-B273-8991D7F2B118}"/>
            </c:ext>
          </c:extLst>
        </c:ser>
        <c:ser>
          <c:idx val="4"/>
          <c:order val="4"/>
          <c:tx>
            <c:strRef>
              <c:f>'Concentracion Pretax'!$F$1</c:f>
              <c:strCache>
                <c:ptCount val="1"/>
                <c:pt idx="0">
                  <c:v>50% más pobre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'Concentracion Pretax'!$A$2:$A$16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'Concentracion Pretax'!$F$2:$F$16</c:f>
              <c:numCache>
                <c:formatCode>0.00%</c:formatCode>
                <c:ptCount val="15"/>
                <c:pt idx="0">
                  <c:v>0.1448973261911489</c:v>
                </c:pt>
                <c:pt idx="1">
                  <c:v>0.14489525045552709</c:v>
                </c:pt>
                <c:pt idx="2">
                  <c:v>0.14913268755374751</c:v>
                </c:pt>
                <c:pt idx="3">
                  <c:v>0.15422960275145209</c:v>
                </c:pt>
                <c:pt idx="4">
                  <c:v>0.15425919585710229</c:v>
                </c:pt>
                <c:pt idx="5">
                  <c:v>0.15740877077402851</c:v>
                </c:pt>
                <c:pt idx="6">
                  <c:v>0.1563179208864266</c:v>
                </c:pt>
                <c:pt idx="7">
                  <c:v>0.15815075341257051</c:v>
                </c:pt>
                <c:pt idx="8">
                  <c:v>0.1612720942542577</c:v>
                </c:pt>
                <c:pt idx="9">
                  <c:v>0.17008574990063399</c:v>
                </c:pt>
                <c:pt idx="10">
                  <c:v>0.16595000260348119</c:v>
                </c:pt>
                <c:pt idx="11">
                  <c:v>0.1594316683351433</c:v>
                </c:pt>
                <c:pt idx="12">
                  <c:v>0.1554783215488495</c:v>
                </c:pt>
                <c:pt idx="13">
                  <c:v>0.16230104334406431</c:v>
                </c:pt>
                <c:pt idx="14">
                  <c:v>0.1638991234085132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2-CE44-B273-8991D7F2B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033856"/>
        <c:axId val="1386029824"/>
      </c:lineChart>
      <c:catAx>
        <c:axId val="13860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86029824"/>
        <c:crosses val="autoZero"/>
        <c:auto val="1"/>
        <c:lblAlgn val="ctr"/>
        <c:lblOffset val="100"/>
        <c:noMultiLvlLbl val="0"/>
      </c:catAx>
      <c:valAx>
        <c:axId val="138602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860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'Indice de palma'!$F$2</c:f>
              <c:strCache>
                <c:ptCount val="1"/>
                <c:pt idx="0">
                  <c:v>Antes de impuestos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'Indice de palma'!$A$3:$A$17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'Indice de palma'!$F$3:$F$17</c:f>
              <c:numCache>
                <c:formatCode>0.00</c:formatCode>
                <c:ptCount val="15"/>
                <c:pt idx="0">
                  <c:v>4.4242823992677147</c:v>
                </c:pt>
                <c:pt idx="1">
                  <c:v>4.5147220894096272</c:v>
                </c:pt>
                <c:pt idx="2">
                  <c:v>4.3385905863896737</c:v>
                </c:pt>
                <c:pt idx="3">
                  <c:v>4.1543683917411167</c:v>
                </c:pt>
                <c:pt idx="4">
                  <c:v>4.2512136082537024</c:v>
                </c:pt>
                <c:pt idx="5">
                  <c:v>4.1017512385556349</c:v>
                </c:pt>
                <c:pt idx="6">
                  <c:v>4.1780956597706878</c:v>
                </c:pt>
                <c:pt idx="7">
                  <c:v>4.077131529398744</c:v>
                </c:pt>
                <c:pt idx="8">
                  <c:v>3.9558700294654052</c:v>
                </c:pt>
                <c:pt idx="9">
                  <c:v>3.5986060177900763</c:v>
                </c:pt>
                <c:pt idx="10">
                  <c:v>3.7329228745536227</c:v>
                </c:pt>
                <c:pt idx="11">
                  <c:v>4.1040630376051315</c:v>
                </c:pt>
                <c:pt idx="12">
                  <c:v>4.3213039513964855</c:v>
                </c:pt>
                <c:pt idx="13">
                  <c:v>4.0191803014671006</c:v>
                </c:pt>
                <c:pt idx="14">
                  <c:v>3.9394472186511176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B-6A4A-B09F-95E199695CE0}"/>
            </c:ext>
          </c:extLst>
        </c:ser>
        <c:ser>
          <c:idx val="1"/>
          <c:order val="1"/>
          <c:tx>
            <c:strRef>
              <c:f>'Indice de palma'!$G$2</c:f>
              <c:strCache>
                <c:ptCount val="1"/>
                <c:pt idx="0">
                  <c:v>Después de impuestos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'Indice de palma'!$A$3:$A$17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'Indice de palma'!$G$3:$G$17</c:f>
              <c:numCache>
                <c:formatCode>0.00</c:formatCode>
                <c:ptCount val="15"/>
                <c:pt idx="0">
                  <c:v>4.1358104931283659</c:v>
                </c:pt>
                <c:pt idx="1">
                  <c:v>4.2070839178569548</c:v>
                </c:pt>
                <c:pt idx="2">
                  <c:v>4.0371818194095415</c:v>
                </c:pt>
                <c:pt idx="3">
                  <c:v>3.8698257641971541</c:v>
                </c:pt>
                <c:pt idx="4">
                  <c:v>3.9697238093796536</c:v>
                </c:pt>
                <c:pt idx="5">
                  <c:v>3.8424742726405547</c:v>
                </c:pt>
                <c:pt idx="6">
                  <c:v>3.9367528038152564</c:v>
                </c:pt>
                <c:pt idx="7">
                  <c:v>3.8296592690956928</c:v>
                </c:pt>
                <c:pt idx="8">
                  <c:v>3.7142456349666726</c:v>
                </c:pt>
                <c:pt idx="9">
                  <c:v>3.3604001196438373</c:v>
                </c:pt>
                <c:pt idx="10">
                  <c:v>3.5422620619857677</c:v>
                </c:pt>
                <c:pt idx="11">
                  <c:v>3.8896347052085973</c:v>
                </c:pt>
                <c:pt idx="12">
                  <c:v>3.9988649064399118</c:v>
                </c:pt>
                <c:pt idx="13">
                  <c:v>3.7362774799146088</c:v>
                </c:pt>
                <c:pt idx="14">
                  <c:v>3.6816901580412194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0B-6A4A-B09F-95E199695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88160"/>
        <c:axId val="1380191744"/>
      </c:scatterChart>
      <c:valAx>
        <c:axId val="138018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80191744"/>
        <c:crosses val="autoZero"/>
        <c:crossBetween val="midCat"/>
      </c:valAx>
      <c:valAx>
        <c:axId val="13801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8018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Gini!$B$1</c:f>
              <c:strCache>
                <c:ptCount val="1"/>
                <c:pt idx="0">
                  <c:v>Antes de impuestos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Gini!$A$2:$A$16</c:f>
              <c:numCache>
                <c:formatCode>0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Gini!$B$2:$B$16</c:f>
              <c:numCache>
                <c:formatCode>0.00</c:formatCode>
                <c:ptCount val="15"/>
                <c:pt idx="0">
                  <c:v>0.56999999999999995</c:v>
                </c:pt>
                <c:pt idx="1">
                  <c:v>0.59</c:v>
                </c:pt>
                <c:pt idx="2">
                  <c:v>0.56999999999999995</c:v>
                </c:pt>
                <c:pt idx="3">
                  <c:v>0.56999999999999995</c:v>
                </c:pt>
                <c:pt idx="4">
                  <c:v>0.57999999999999996</c:v>
                </c:pt>
                <c:pt idx="5">
                  <c:v>0.56999999999999995</c:v>
                </c:pt>
                <c:pt idx="6">
                  <c:v>0.59</c:v>
                </c:pt>
                <c:pt idx="7">
                  <c:v>0.56999999999999995</c:v>
                </c:pt>
                <c:pt idx="8">
                  <c:v>0.56000000000000005</c:v>
                </c:pt>
                <c:pt idx="9">
                  <c:v>0.54</c:v>
                </c:pt>
                <c:pt idx="10">
                  <c:v>0.54</c:v>
                </c:pt>
                <c:pt idx="11">
                  <c:v>0.56000000000000005</c:v>
                </c:pt>
                <c:pt idx="12">
                  <c:v>0.56999999999999995</c:v>
                </c:pt>
                <c:pt idx="13">
                  <c:v>0.55000000000000004</c:v>
                </c:pt>
                <c:pt idx="14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F0-7D46-9987-00AA9B90E5CF}"/>
            </c:ext>
          </c:extLst>
        </c:ser>
        <c:ser>
          <c:idx val="1"/>
          <c:order val="1"/>
          <c:tx>
            <c:strRef>
              <c:f>Gini!$C$1</c:f>
              <c:strCache>
                <c:ptCount val="1"/>
                <c:pt idx="0">
                  <c:v>Después de impuestos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Gini!$A$2:$A$16</c:f>
              <c:numCache>
                <c:formatCode>0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Gini!$C$2:$C$16</c:f>
              <c:numCache>
                <c:formatCode>0.00</c:formatCode>
                <c:ptCount val="15"/>
                <c:pt idx="0">
                  <c:v>0.56000000000000005</c:v>
                </c:pt>
                <c:pt idx="1">
                  <c:v>0.57999999999999996</c:v>
                </c:pt>
                <c:pt idx="2">
                  <c:v>0.56000000000000005</c:v>
                </c:pt>
                <c:pt idx="3">
                  <c:v>0.56000000000000005</c:v>
                </c:pt>
                <c:pt idx="4">
                  <c:v>0.56999999999999995</c:v>
                </c:pt>
                <c:pt idx="5">
                  <c:v>0.56000000000000005</c:v>
                </c:pt>
                <c:pt idx="6">
                  <c:v>0.56999999999999995</c:v>
                </c:pt>
                <c:pt idx="7">
                  <c:v>0.56000000000000005</c:v>
                </c:pt>
                <c:pt idx="8">
                  <c:v>0.55000000000000004</c:v>
                </c:pt>
                <c:pt idx="9">
                  <c:v>0.53</c:v>
                </c:pt>
                <c:pt idx="10">
                  <c:v>0.53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0.54</c:v>
                </c:pt>
                <c:pt idx="14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F0-7D46-9987-00AA9B90E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070592"/>
        <c:axId val="1382661440"/>
      </c:lineChart>
      <c:catAx>
        <c:axId val="1383070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82661440"/>
        <c:crosses val="autoZero"/>
        <c:auto val="1"/>
        <c:lblAlgn val="ctr"/>
        <c:lblOffset val="100"/>
        <c:noMultiLvlLbl val="0"/>
      </c:catAx>
      <c:valAx>
        <c:axId val="138266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8307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955919</xdr:colOff>
      <xdr:row>18</xdr:row>
      <xdr:rowOff>54630</xdr:rowOff>
    </xdr:from>
    <xdr:to>
      <xdr:col>6</xdr:col>
      <xdr:colOff>13655</xdr:colOff>
      <xdr:row>38</xdr:row>
      <xdr:rowOff>81936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EBCC9E-A105-63C8-1588-C682822B3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1136650</xdr:colOff>
      <xdr:row>20</xdr:row>
      <xdr:rowOff>114306</xdr:rowOff>
    </xdr:from>
    <xdr:to>
      <xdr:col>6</xdr:col>
      <xdr:colOff>1663700</xdr:colOff>
      <xdr:row>40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EDB8DA-A7D2-43B9-4274-3FF2A9DA0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0</xdr:rowOff>
    </xdr:from>
    <xdr:to>
      <xdr:col>10</xdr:col>
      <xdr:colOff>279400</xdr:colOff>
      <xdr:row>15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102CB9-4AF4-C83E-8938-B41E0AB87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="125" workbookViewId="0">
      <pane xSplit="1" ySplit="1" topLeftCell="B2" activePane="bottomRight" state="frozen"/>
      <selection pane="topRight"/>
      <selection pane="bottomLeft"/>
      <selection pane="bottomRight" activeCell="G2" sqref="G2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23" customWidth="1"/>
    <col min="5" max="5" width="22" customWidth="1"/>
    <col min="6" max="7" width="21" customWidth="1"/>
  </cols>
  <sheetData>
    <row r="1" spans="1:7" ht="30" customHeight="1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">
      <c r="A2" s="2">
        <v>2010</v>
      </c>
      <c r="B2" s="3">
        <v>4.117250031592324E-2</v>
      </c>
      <c r="C2" s="3">
        <v>0.1203806243676795</v>
      </c>
      <c r="D2" s="3">
        <v>0.40914167995011019</v>
      </c>
      <c r="E2" s="3">
        <v>0.44596250924542002</v>
      </c>
      <c r="F2" s="3">
        <v>0.1448973261911489</v>
      </c>
      <c r="G2" s="3">
        <v>7.054254572243332E-2</v>
      </c>
    </row>
    <row r="3" spans="1:7" x14ac:dyDescent="0.2">
      <c r="A3" s="4">
        <v>2011</v>
      </c>
      <c r="B3" s="5">
        <v>5.3311945161624068E-2</v>
      </c>
      <c r="C3" s="5">
        <v>0.13249904708340171</v>
      </c>
      <c r="D3" s="5">
        <v>0.41573131896183008</v>
      </c>
      <c r="E3" s="5">
        <v>0.43937426796957357</v>
      </c>
      <c r="F3" s="5">
        <v>0.14489525045552709</v>
      </c>
      <c r="G3" s="5">
        <v>6.9929325548415619E-2</v>
      </c>
    </row>
    <row r="4" spans="1:7" x14ac:dyDescent="0.2">
      <c r="A4" s="2">
        <v>2012</v>
      </c>
      <c r="B4" s="3">
        <v>4.9758195114072257E-2</v>
      </c>
      <c r="C4" s="3">
        <v>0.13064085672727929</v>
      </c>
      <c r="D4" s="3">
        <v>0.41232006798146759</v>
      </c>
      <c r="E4" s="3">
        <v>0.43854822851151082</v>
      </c>
      <c r="F4" s="3">
        <v>0.14913268755374751</v>
      </c>
      <c r="G4" s="3">
        <v>7.2270467675392705E-2</v>
      </c>
    </row>
    <row r="5" spans="1:7" x14ac:dyDescent="0.2">
      <c r="A5" s="4">
        <v>2013</v>
      </c>
      <c r="B5" s="5">
        <v>4.6892693448886927E-2</v>
      </c>
      <c r="C5" s="5">
        <v>0.12738952217097779</v>
      </c>
      <c r="D5" s="5">
        <v>0.40974649679897829</v>
      </c>
      <c r="E5" s="5">
        <v>0.43602520883001822</v>
      </c>
      <c r="F5" s="5">
        <v>0.15422960275145209</v>
      </c>
      <c r="G5" s="5">
        <v>7.5032601073094424E-2</v>
      </c>
    </row>
    <row r="6" spans="1:7" x14ac:dyDescent="0.2">
      <c r="A6" s="2">
        <v>2014</v>
      </c>
      <c r="B6" s="3">
        <v>6.064970852305368E-2</v>
      </c>
      <c r="C6" s="3">
        <v>0.1420646735919977</v>
      </c>
      <c r="D6" s="3">
        <v>0.42000980067366689</v>
      </c>
      <c r="E6" s="3">
        <v>0.42591649989334679</v>
      </c>
      <c r="F6" s="3">
        <v>0.15425919585710229</v>
      </c>
      <c r="G6" s="3">
        <v>7.5045917059735345E-2</v>
      </c>
    </row>
    <row r="7" spans="1:7" x14ac:dyDescent="0.2">
      <c r="A7" s="4">
        <v>2015</v>
      </c>
      <c r="B7" s="5">
        <v>4.5564921208044867E-2</v>
      </c>
      <c r="C7" s="5">
        <v>0.13059790234908011</v>
      </c>
      <c r="D7" s="5">
        <v>0.41291065155300988</v>
      </c>
      <c r="E7" s="5">
        <v>0.42968255368297847</v>
      </c>
      <c r="F7" s="5">
        <v>0.15740877077402851</v>
      </c>
      <c r="G7" s="5">
        <v>7.6474736929959222E-2</v>
      </c>
    </row>
    <row r="8" spans="1:7" x14ac:dyDescent="0.2">
      <c r="A8" s="2">
        <v>2016</v>
      </c>
      <c r="B8" s="3">
        <v>4.9307695264503147E-2</v>
      </c>
      <c r="C8" s="3">
        <v>0.13370817603702351</v>
      </c>
      <c r="D8" s="3">
        <v>0.41446059123778989</v>
      </c>
      <c r="E8" s="3">
        <v>0.42922251002431838</v>
      </c>
      <c r="F8" s="3">
        <v>0.1563179208864266</v>
      </c>
      <c r="G8" s="3">
        <v>7.4665231286749095E-2</v>
      </c>
    </row>
    <row r="9" spans="1:7" x14ac:dyDescent="0.2">
      <c r="A9" s="4">
        <v>2017</v>
      </c>
      <c r="B9" s="5">
        <v>4.7449261509294953E-2</v>
      </c>
      <c r="C9" s="5">
        <v>0.129820475290606</v>
      </c>
      <c r="D9" s="5">
        <v>0.40954316930625129</v>
      </c>
      <c r="E9" s="5">
        <v>0.43230688518082788</v>
      </c>
      <c r="F9" s="5">
        <v>0.15815075341257051</v>
      </c>
      <c r="G9" s="5">
        <v>7.584250986549794E-2</v>
      </c>
    </row>
    <row r="10" spans="1:7" x14ac:dyDescent="0.2">
      <c r="A10" s="2">
        <v>2018</v>
      </c>
      <c r="B10" s="3">
        <v>4.5624814516639522E-2</v>
      </c>
      <c r="C10" s="3">
        <v>0.12802777988361611</v>
      </c>
      <c r="D10" s="3">
        <v>0.40567150791443291</v>
      </c>
      <c r="E10" s="3">
        <v>0.4330569946908111</v>
      </c>
      <c r="F10" s="3">
        <v>0.1612720942542577</v>
      </c>
      <c r="G10" s="3">
        <v>7.7543851764170252E-2</v>
      </c>
    </row>
    <row r="11" spans="1:7" x14ac:dyDescent="0.2">
      <c r="A11" s="4">
        <v>2019</v>
      </c>
      <c r="B11" s="5">
        <v>5.0540715804061317E-2</v>
      </c>
      <c r="C11" s="5">
        <v>0.13015204158091029</v>
      </c>
      <c r="D11" s="5">
        <v>0.39396418806294581</v>
      </c>
      <c r="E11" s="5">
        <v>0.4361544050251302</v>
      </c>
      <c r="F11" s="5">
        <v>0.17008574990063399</v>
      </c>
      <c r="G11" s="5">
        <v>8.3587854410652807E-2</v>
      </c>
    </row>
    <row r="12" spans="1:7" x14ac:dyDescent="0.2">
      <c r="A12" s="2">
        <v>2020</v>
      </c>
      <c r="B12" s="3">
        <v>3.9876371509776368E-2</v>
      </c>
      <c r="C12" s="3">
        <v>0.1191454854675793</v>
      </c>
      <c r="D12" s="3">
        <v>0.39196606873817541</v>
      </c>
      <c r="E12" s="3">
        <v>0.44236558090447847</v>
      </c>
      <c r="F12" s="3">
        <v>0.16595000260348119</v>
      </c>
      <c r="G12" s="3">
        <v>7.8714242538396803E-2</v>
      </c>
    </row>
    <row r="13" spans="1:7" x14ac:dyDescent="0.2">
      <c r="A13" s="4">
        <v>2021</v>
      </c>
      <c r="B13" s="5">
        <v>5.2706789687595207E-2</v>
      </c>
      <c r="C13" s="5">
        <v>0.14363845766821709</v>
      </c>
      <c r="D13" s="5">
        <v>0.41720522977877578</v>
      </c>
      <c r="E13" s="5">
        <v>0.4233639100584245</v>
      </c>
      <c r="F13" s="5">
        <v>0.1594316683351433</v>
      </c>
      <c r="G13" s="5">
        <v>7.7100264278851943E-2</v>
      </c>
    </row>
    <row r="14" spans="1:7" x14ac:dyDescent="0.2">
      <c r="A14" s="2">
        <v>2022</v>
      </c>
      <c r="B14" s="3">
        <v>5.2432156030627793E-2</v>
      </c>
      <c r="C14" s="3">
        <v>0.1439888093240537</v>
      </c>
      <c r="D14" s="3">
        <v>0.41850323711056492</v>
      </c>
      <c r="E14" s="3">
        <v>0.42602011940805162</v>
      </c>
      <c r="F14" s="3">
        <v>0.1554783215488495</v>
      </c>
      <c r="G14" s="3">
        <v>7.3282131667737171E-2</v>
      </c>
    </row>
    <row r="15" spans="1:7" x14ac:dyDescent="0.2">
      <c r="A15" s="4">
        <v>2023</v>
      </c>
      <c r="B15" s="5">
        <v>4.8368297699316033E-2</v>
      </c>
      <c r="C15" s="5">
        <v>0.14012197963834189</v>
      </c>
      <c r="D15" s="5">
        <v>0.41012801216699879</v>
      </c>
      <c r="E15" s="5">
        <v>0.42871375706505749</v>
      </c>
      <c r="F15" s="5">
        <v>0.16230104334406431</v>
      </c>
      <c r="G15" s="5">
        <v>7.6044704405391045E-2</v>
      </c>
    </row>
    <row r="16" spans="1:7" x14ac:dyDescent="0.2">
      <c r="A16" s="2">
        <v>2024</v>
      </c>
      <c r="B16" s="3">
        <v>6.3904974650103433E-2</v>
      </c>
      <c r="C16" s="3">
        <v>0.1489840927560396</v>
      </c>
      <c r="D16" s="3">
        <v>0.40631573492064332</v>
      </c>
      <c r="E16" s="3">
        <v>0.429786868683317</v>
      </c>
      <c r="F16" s="3">
        <v>0.1638991234085132</v>
      </c>
      <c r="G16" s="3">
        <v>7.6236427120901076E-2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xSplit="1" ySplit="2" topLeftCell="B3" activePane="bottomRight" state="frozen"/>
      <selection pane="topRight"/>
      <selection pane="bottomLeft"/>
      <selection pane="bottomRight" activeCell="J29" sqref="J29"/>
    </sheetView>
  </sheetViews>
  <sheetFormatPr baseColWidth="10" defaultColWidth="8.83203125" defaultRowHeight="15" x14ac:dyDescent="0.2"/>
  <cols>
    <col min="1" max="1" width="8" customWidth="1"/>
    <col min="2" max="2" width="23" customWidth="1"/>
    <col min="3" max="5" width="21" customWidth="1"/>
    <col min="6" max="6" width="24" customWidth="1"/>
    <col min="7" max="7" width="22.1640625" customWidth="1"/>
  </cols>
  <sheetData>
    <row r="1" spans="1:7" x14ac:dyDescent="0.2">
      <c r="B1" s="13" t="s">
        <v>21</v>
      </c>
      <c r="C1" s="13"/>
      <c r="D1" s="12" t="s">
        <v>22</v>
      </c>
      <c r="E1" s="12"/>
    </row>
    <row r="2" spans="1:7" ht="30" customHeight="1" x14ac:dyDescent="0.2">
      <c r="A2" s="1" t="s">
        <v>0</v>
      </c>
      <c r="B2" s="1" t="s">
        <v>4</v>
      </c>
      <c r="C2" s="1" t="s">
        <v>9</v>
      </c>
      <c r="D2" s="1" t="s">
        <v>4</v>
      </c>
      <c r="E2" s="1" t="s">
        <v>9</v>
      </c>
      <c r="F2" s="6" t="s">
        <v>21</v>
      </c>
      <c r="G2" s="6" t="s">
        <v>22</v>
      </c>
    </row>
    <row r="3" spans="1:7" x14ac:dyDescent="0.2">
      <c r="A3" s="2">
        <v>2010</v>
      </c>
      <c r="B3" s="3">
        <v>0.40914167995011019</v>
      </c>
      <c r="C3" s="3">
        <v>9.2476393463904849E-2</v>
      </c>
      <c r="D3" s="3">
        <v>0.39355522959361888</v>
      </c>
      <c r="E3" s="3">
        <v>9.5157945521805093E-2</v>
      </c>
      <c r="F3" s="7">
        <f>B3/C3</f>
        <v>4.4242823992677147</v>
      </c>
      <c r="G3" s="9">
        <f>D3/E3</f>
        <v>4.1358104931283659</v>
      </c>
    </row>
    <row r="4" spans="1:7" x14ac:dyDescent="0.2">
      <c r="A4" s="4">
        <v>2011</v>
      </c>
      <c r="B4" s="5">
        <v>0.41573131896183008</v>
      </c>
      <c r="C4" s="5">
        <v>9.2083479498556164E-2</v>
      </c>
      <c r="D4" s="5">
        <v>0.39931546018720021</v>
      </c>
      <c r="E4" s="5">
        <v>9.4915021421918155E-2</v>
      </c>
      <c r="F4" s="7">
        <f t="shared" ref="F4:F17" si="0">B4/C4</f>
        <v>4.5147220894096272</v>
      </c>
      <c r="G4" s="9">
        <f t="shared" ref="G4:G17" si="1">D4/E4</f>
        <v>4.2070839178569548</v>
      </c>
    </row>
    <row r="5" spans="1:7" x14ac:dyDescent="0.2">
      <c r="A5" s="2">
        <v>2012</v>
      </c>
      <c r="B5" s="3">
        <v>0.41232006798146759</v>
      </c>
      <c r="C5" s="3">
        <v>9.503548670273973E-2</v>
      </c>
      <c r="D5" s="3">
        <v>0.39562349655937312</v>
      </c>
      <c r="E5" s="3">
        <v>9.7994966354335536E-2</v>
      </c>
      <c r="F5" s="7">
        <f t="shared" si="0"/>
        <v>4.3385905863896737</v>
      </c>
      <c r="G5" s="9">
        <f t="shared" si="1"/>
        <v>4.0371818194095415</v>
      </c>
    </row>
    <row r="6" spans="1:7" x14ac:dyDescent="0.2">
      <c r="A6" s="4">
        <v>2013</v>
      </c>
      <c r="B6" s="5">
        <v>0.40974649679897829</v>
      </c>
      <c r="C6" s="5">
        <v>9.8630274968766432E-2</v>
      </c>
      <c r="D6" s="5">
        <v>0.39320246882137322</v>
      </c>
      <c r="E6" s="5">
        <v>0.10160727970215171</v>
      </c>
      <c r="F6" s="7">
        <f t="shared" si="0"/>
        <v>4.1543683917411167</v>
      </c>
      <c r="G6" s="9">
        <f t="shared" si="1"/>
        <v>3.8698257641971541</v>
      </c>
    </row>
    <row r="7" spans="1:7" x14ac:dyDescent="0.2">
      <c r="A7" s="2">
        <v>2014</v>
      </c>
      <c r="B7" s="3">
        <v>0.42000980067366689</v>
      </c>
      <c r="C7" s="3">
        <v>9.8797623308840732E-2</v>
      </c>
      <c r="D7" s="3">
        <v>0.40384609979881381</v>
      </c>
      <c r="E7" s="3">
        <v>0.1017315357921393</v>
      </c>
      <c r="F7" s="7">
        <f t="shared" si="0"/>
        <v>4.2512136082537024</v>
      </c>
      <c r="G7" s="9">
        <f t="shared" si="1"/>
        <v>3.9697238093796536</v>
      </c>
    </row>
    <row r="8" spans="1:7" x14ac:dyDescent="0.2">
      <c r="A8" s="4">
        <v>2015</v>
      </c>
      <c r="B8" s="5">
        <v>0.41291065155300988</v>
      </c>
      <c r="C8" s="5">
        <v>0.1006669170162571</v>
      </c>
      <c r="D8" s="5">
        <v>0.39759078880050869</v>
      </c>
      <c r="E8" s="5">
        <v>0.1034725961944525</v>
      </c>
      <c r="F8" s="7">
        <f t="shared" si="0"/>
        <v>4.1017512385556349</v>
      </c>
      <c r="G8" s="9">
        <f t="shared" si="1"/>
        <v>3.8424742726405547</v>
      </c>
    </row>
    <row r="9" spans="1:7" x14ac:dyDescent="0.2">
      <c r="A9" s="2">
        <v>2016</v>
      </c>
      <c r="B9" s="3">
        <v>0.41446059123778989</v>
      </c>
      <c r="C9" s="3">
        <v>9.9198444695384816E-2</v>
      </c>
      <c r="D9" s="3">
        <v>0.40042627039718709</v>
      </c>
      <c r="E9" s="3">
        <v>0.101714862566204</v>
      </c>
      <c r="F9" s="7">
        <f t="shared" si="0"/>
        <v>4.1780956597706878</v>
      </c>
      <c r="G9" s="9">
        <f t="shared" si="1"/>
        <v>3.9367528038152564</v>
      </c>
    </row>
    <row r="10" spans="1:7" x14ac:dyDescent="0.2">
      <c r="A10" s="4">
        <v>2017</v>
      </c>
      <c r="B10" s="5">
        <v>0.40954316930625129</v>
      </c>
      <c r="C10" s="5">
        <v>0.10044884898934001</v>
      </c>
      <c r="D10" s="5">
        <v>0.39483019845653322</v>
      </c>
      <c r="E10" s="5">
        <v>0.1030979966397286</v>
      </c>
      <c r="F10" s="7">
        <f t="shared" si="0"/>
        <v>4.077131529398744</v>
      </c>
      <c r="G10" s="9">
        <f t="shared" si="1"/>
        <v>3.8296592690956928</v>
      </c>
    </row>
    <row r="11" spans="1:7" x14ac:dyDescent="0.2">
      <c r="A11" s="2">
        <v>2018</v>
      </c>
      <c r="B11" s="3">
        <v>0.40567150791443291</v>
      </c>
      <c r="C11" s="3">
        <v>0.1025492508330096</v>
      </c>
      <c r="D11" s="3">
        <v>0.39091525309514169</v>
      </c>
      <c r="E11" s="3">
        <v>0.1052475499775742</v>
      </c>
      <c r="F11" s="7">
        <f t="shared" si="0"/>
        <v>3.9558700294654052</v>
      </c>
      <c r="G11" s="9">
        <f t="shared" si="1"/>
        <v>3.7142456349666726</v>
      </c>
    </row>
    <row r="12" spans="1:7" x14ac:dyDescent="0.2">
      <c r="A12" s="4">
        <v>2019</v>
      </c>
      <c r="B12" s="5">
        <v>0.39396418806294581</v>
      </c>
      <c r="C12" s="5">
        <v>0.1094768880270148</v>
      </c>
      <c r="D12" s="5">
        <v>0.3780588839919668</v>
      </c>
      <c r="E12" s="5">
        <v>0.1125041276430012</v>
      </c>
      <c r="F12" s="7">
        <f t="shared" si="0"/>
        <v>3.5986060177900763</v>
      </c>
      <c r="G12" s="9">
        <f t="shared" si="1"/>
        <v>3.3604001196438373</v>
      </c>
    </row>
    <row r="13" spans="1:7" x14ac:dyDescent="0.2">
      <c r="A13" s="2">
        <v>2020</v>
      </c>
      <c r="B13" s="3">
        <v>0.39196606873817541</v>
      </c>
      <c r="C13" s="3">
        <v>0.1050024556923229</v>
      </c>
      <c r="D13" s="3">
        <v>0.37974041799239611</v>
      </c>
      <c r="E13" s="3">
        <v>0.10720280186709739</v>
      </c>
      <c r="F13" s="7">
        <f t="shared" si="0"/>
        <v>3.7329228745536227</v>
      </c>
      <c r="G13" s="9">
        <f t="shared" si="1"/>
        <v>3.5422620619857677</v>
      </c>
    </row>
    <row r="14" spans="1:7" x14ac:dyDescent="0.2">
      <c r="A14" s="4">
        <v>2021</v>
      </c>
      <c r="B14" s="5">
        <v>0.41720522977877578</v>
      </c>
      <c r="C14" s="5">
        <v>0.10165663294056761</v>
      </c>
      <c r="D14" s="5">
        <v>0.40455171394483719</v>
      </c>
      <c r="E14" s="5">
        <v>0.1040076368619149</v>
      </c>
      <c r="F14" s="7">
        <f t="shared" si="0"/>
        <v>4.1040630376051315</v>
      </c>
      <c r="G14" s="9">
        <f t="shared" si="1"/>
        <v>3.8896347052085973</v>
      </c>
    </row>
    <row r="15" spans="1:7" x14ac:dyDescent="0.2">
      <c r="A15" s="2">
        <v>2022</v>
      </c>
      <c r="B15" s="3">
        <v>0.41850323711056492</v>
      </c>
      <c r="C15" s="3">
        <v>9.6846517120213249E-2</v>
      </c>
      <c r="D15" s="3">
        <v>0.40072180520405398</v>
      </c>
      <c r="E15" s="3">
        <v>0.100208887916848</v>
      </c>
      <c r="F15" s="7">
        <f t="shared" si="0"/>
        <v>4.3213039513964855</v>
      </c>
      <c r="G15" s="9">
        <f t="shared" si="1"/>
        <v>3.9988649064399118</v>
      </c>
    </row>
    <row r="16" spans="1:7" x14ac:dyDescent="0.2">
      <c r="A16" s="4">
        <v>2023</v>
      </c>
      <c r="B16" s="5">
        <v>0.41012801216699879</v>
      </c>
      <c r="C16" s="5">
        <v>0.10204270060173511</v>
      </c>
      <c r="D16" s="5">
        <v>0.39347140442453987</v>
      </c>
      <c r="E16" s="5">
        <v>0.10531107674409999</v>
      </c>
      <c r="F16" s="7">
        <f t="shared" si="0"/>
        <v>4.0191803014671006</v>
      </c>
      <c r="G16" s="9">
        <f t="shared" si="1"/>
        <v>3.7362774799146088</v>
      </c>
    </row>
    <row r="17" spans="1:7" x14ac:dyDescent="0.2">
      <c r="A17" s="2">
        <v>2024</v>
      </c>
      <c r="B17" s="3">
        <v>0.40631573492064332</v>
      </c>
      <c r="C17" s="3">
        <v>0.10314029161171689</v>
      </c>
      <c r="D17" s="3">
        <v>0.39084533681392047</v>
      </c>
      <c r="E17" s="3">
        <v>0.1061592149356379</v>
      </c>
      <c r="F17" s="7">
        <f t="shared" si="0"/>
        <v>3.9394472186511176</v>
      </c>
      <c r="G17" s="9">
        <f t="shared" si="1"/>
        <v>3.6816901580412194</v>
      </c>
    </row>
  </sheetData>
  <mergeCells count="2">
    <mergeCell ref="B1:C1"/>
    <mergeCell ref="D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F4E0-F07B-DC40-B16D-7EBCBF7D8CFB}">
  <dimension ref="A1:C16"/>
  <sheetViews>
    <sheetView workbookViewId="0">
      <selection sqref="A1:C16"/>
    </sheetView>
  </sheetViews>
  <sheetFormatPr baseColWidth="10" defaultRowHeight="15" x14ac:dyDescent="0.2"/>
  <sheetData>
    <row r="1" spans="1:3" x14ac:dyDescent="0.2">
      <c r="A1" s="8" t="s">
        <v>0</v>
      </c>
      <c r="B1" s="8" t="s">
        <v>21</v>
      </c>
      <c r="C1" s="8" t="s">
        <v>22</v>
      </c>
    </row>
    <row r="2" spans="1:3" x14ac:dyDescent="0.2">
      <c r="A2" s="11">
        <v>2010</v>
      </c>
      <c r="B2" s="10">
        <v>0.56999999999999995</v>
      </c>
      <c r="C2" s="10">
        <v>0.56000000000000005</v>
      </c>
    </row>
    <row r="3" spans="1:3" x14ac:dyDescent="0.2">
      <c r="A3" s="11">
        <v>2011</v>
      </c>
      <c r="B3" s="10">
        <v>0.59</v>
      </c>
      <c r="C3" s="10">
        <v>0.57999999999999996</v>
      </c>
    </row>
    <row r="4" spans="1:3" x14ac:dyDescent="0.2">
      <c r="A4" s="11">
        <v>2012</v>
      </c>
      <c r="B4" s="10">
        <v>0.56999999999999995</v>
      </c>
      <c r="C4" s="10">
        <v>0.56000000000000005</v>
      </c>
    </row>
    <row r="5" spans="1:3" x14ac:dyDescent="0.2">
      <c r="A5" s="11">
        <v>2013</v>
      </c>
      <c r="B5" s="10">
        <v>0.56999999999999995</v>
      </c>
      <c r="C5" s="10">
        <v>0.56000000000000005</v>
      </c>
    </row>
    <row r="6" spans="1:3" x14ac:dyDescent="0.2">
      <c r="A6" s="11">
        <v>2014</v>
      </c>
      <c r="B6" s="10">
        <v>0.57999999999999996</v>
      </c>
      <c r="C6" s="10">
        <v>0.56999999999999995</v>
      </c>
    </row>
    <row r="7" spans="1:3" x14ac:dyDescent="0.2">
      <c r="A7" s="11">
        <v>2015</v>
      </c>
      <c r="B7" s="10">
        <v>0.56999999999999995</v>
      </c>
      <c r="C7" s="10">
        <v>0.56000000000000005</v>
      </c>
    </row>
    <row r="8" spans="1:3" x14ac:dyDescent="0.2">
      <c r="A8" s="11">
        <v>2016</v>
      </c>
      <c r="B8" s="10">
        <v>0.59</v>
      </c>
      <c r="C8" s="10">
        <v>0.56999999999999995</v>
      </c>
    </row>
    <row r="9" spans="1:3" x14ac:dyDescent="0.2">
      <c r="A9" s="11">
        <v>2017</v>
      </c>
      <c r="B9" s="10">
        <v>0.56999999999999995</v>
      </c>
      <c r="C9" s="10">
        <v>0.56000000000000005</v>
      </c>
    </row>
    <row r="10" spans="1:3" x14ac:dyDescent="0.2">
      <c r="A10" s="11">
        <v>2018</v>
      </c>
      <c r="B10" s="10">
        <v>0.56000000000000005</v>
      </c>
      <c r="C10" s="10">
        <v>0.55000000000000004</v>
      </c>
    </row>
    <row r="11" spans="1:3" x14ac:dyDescent="0.2">
      <c r="A11" s="11">
        <v>2019</v>
      </c>
      <c r="B11" s="10">
        <v>0.54</v>
      </c>
      <c r="C11" s="10">
        <v>0.53</v>
      </c>
    </row>
    <row r="12" spans="1:3" x14ac:dyDescent="0.2">
      <c r="A12" s="11">
        <v>2020</v>
      </c>
      <c r="B12" s="10">
        <v>0.54</v>
      </c>
      <c r="C12" s="10">
        <v>0.53</v>
      </c>
    </row>
    <row r="13" spans="1:3" x14ac:dyDescent="0.2">
      <c r="A13" s="11">
        <v>2021</v>
      </c>
      <c r="B13" s="10">
        <v>0.56000000000000005</v>
      </c>
      <c r="C13" s="10">
        <v>0.55000000000000004</v>
      </c>
    </row>
    <row r="14" spans="1:3" x14ac:dyDescent="0.2">
      <c r="A14" s="11">
        <v>2022</v>
      </c>
      <c r="B14" s="10">
        <v>0.56999999999999995</v>
      </c>
      <c r="C14" s="10">
        <v>0.55000000000000004</v>
      </c>
    </row>
    <row r="15" spans="1:3" x14ac:dyDescent="0.2">
      <c r="A15" s="11">
        <v>2023</v>
      </c>
      <c r="B15" s="10">
        <v>0.55000000000000004</v>
      </c>
      <c r="C15" s="10">
        <v>0.54</v>
      </c>
    </row>
    <row r="16" spans="1:3" x14ac:dyDescent="0.2">
      <c r="A16" s="11">
        <v>2024</v>
      </c>
      <c r="B16" s="10">
        <v>0.55000000000000004</v>
      </c>
      <c r="C16" s="10">
        <v>0.54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5" width="23" customWidth="1"/>
    <col min="6" max="6" width="22" customWidth="1"/>
    <col min="7" max="14" width="21" customWidth="1"/>
    <col min="15" max="15" width="20" customWidth="1"/>
  </cols>
  <sheetData>
    <row r="1" spans="1:1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2010</v>
      </c>
      <c r="B2" s="3">
        <v>9.9240558548273045E-2</v>
      </c>
      <c r="C2" s="3">
        <v>0.285935395064292</v>
      </c>
      <c r="D2" s="3">
        <v>0.49325971025245419</v>
      </c>
      <c r="E2" s="3">
        <v>0.61192266683158103</v>
      </c>
      <c r="F2" s="3">
        <v>0.32845797495346762</v>
      </c>
      <c r="G2" s="3">
        <v>0.71437201042505227</v>
      </c>
      <c r="H2" s="3">
        <v>0.38813054419949999</v>
      </c>
      <c r="I2" s="3">
        <v>5.9702268426170851E-2</v>
      </c>
      <c r="J2" s="3">
        <v>3.1276548196687418E-2</v>
      </c>
      <c r="K2" s="3">
        <v>2.109245874794962E-2</v>
      </c>
      <c r="L2" s="3">
        <v>1.306320394154916E-2</v>
      </c>
      <c r="M2" s="3">
        <v>3.2226260486855319E-3</v>
      </c>
      <c r="N2" s="3">
        <v>2.0235456768961769E-4</v>
      </c>
      <c r="O2" s="3">
        <v>1</v>
      </c>
    </row>
    <row r="3" spans="1:15" x14ac:dyDescent="0.2">
      <c r="A3" s="4">
        <v>2011</v>
      </c>
      <c r="B3" s="5">
        <v>0.16532676056693879</v>
      </c>
      <c r="C3" s="5">
        <v>0.38204279814642578</v>
      </c>
      <c r="D3" s="5">
        <v>0.58040253310492995</v>
      </c>
      <c r="E3" s="5">
        <v>0.68422404293097872</v>
      </c>
      <c r="F3" s="5">
        <v>0.27078264098925081</v>
      </c>
      <c r="G3" s="5">
        <v>0.61821957831498264</v>
      </c>
      <c r="H3" s="5">
        <v>0.31585155465344222</v>
      </c>
      <c r="I3" s="5">
        <v>4.5068913664191419E-2</v>
      </c>
      <c r="J3" s="5">
        <v>2.2832271261907691E-2</v>
      </c>
      <c r="K3" s="5">
        <v>1.50198276080384E-2</v>
      </c>
      <c r="L3" s="5">
        <v>9.0784913461083722E-3</v>
      </c>
      <c r="M3" s="5">
        <v>2.1536283711947059E-3</v>
      </c>
      <c r="N3" s="5">
        <v>1.6194203839955769E-4</v>
      </c>
      <c r="O3" s="5">
        <v>1</v>
      </c>
    </row>
    <row r="4" spans="1:15" x14ac:dyDescent="0.2">
      <c r="A4" s="2">
        <v>2012</v>
      </c>
      <c r="B4" s="3">
        <v>0.16884462033522821</v>
      </c>
      <c r="C4" s="3">
        <v>0.39886778360355651</v>
      </c>
      <c r="D4" s="3">
        <v>0.59833480696693986</v>
      </c>
      <c r="E4" s="3">
        <v>0.70102231963531925</v>
      </c>
      <c r="F4" s="3">
        <v>0.26020793130312331</v>
      </c>
      <c r="G4" s="3">
        <v>0.60136227350452698</v>
      </c>
      <c r="H4" s="3">
        <v>0.29900882428088332</v>
      </c>
      <c r="I4" s="3">
        <v>3.8805851536211543E-2</v>
      </c>
      <c r="J4" s="3">
        <v>1.855812796678916E-2</v>
      </c>
      <c r="K4" s="3">
        <v>1.1685828148705481E-2</v>
      </c>
      <c r="L4" s="3">
        <v>6.7068323975703588E-3</v>
      </c>
      <c r="M4" s="3">
        <v>1.342534575256858E-3</v>
      </c>
      <c r="N4" s="3">
        <v>8.3445365329912682E-5</v>
      </c>
      <c r="O4" s="3">
        <v>1</v>
      </c>
    </row>
    <row r="5" spans="1:15" x14ac:dyDescent="0.2">
      <c r="A5" s="4">
        <v>2013</v>
      </c>
      <c r="B5" s="5">
        <v>0.1612620084351814</v>
      </c>
      <c r="C5" s="5">
        <v>0.39217533905951402</v>
      </c>
      <c r="D5" s="5">
        <v>0.59492510973213397</v>
      </c>
      <c r="E5" s="5">
        <v>0.69980364787851346</v>
      </c>
      <c r="F5" s="5">
        <v>0.26313176579183462</v>
      </c>
      <c r="G5" s="5">
        <v>0.60803074836196158</v>
      </c>
      <c r="H5" s="5">
        <v>0.30022479626658932</v>
      </c>
      <c r="I5" s="5">
        <v>3.7097375960467728E-2</v>
      </c>
      <c r="J5" s="5">
        <v>1.7298324586205501E-2</v>
      </c>
      <c r="K5" s="5">
        <v>1.0627147835815051E-2</v>
      </c>
      <c r="L5" s="5">
        <v>5.896713485035265E-3</v>
      </c>
      <c r="M5" s="5">
        <v>1.0466044180964069E-3</v>
      </c>
      <c r="N5" s="5">
        <v>5.9109902436257713E-5</v>
      </c>
      <c r="O5" s="5">
        <v>1</v>
      </c>
    </row>
    <row r="6" spans="1:15" x14ac:dyDescent="0.2">
      <c r="A6" s="2">
        <v>2014</v>
      </c>
      <c r="B6" s="3">
        <v>0.187239132910236</v>
      </c>
      <c r="C6" s="3">
        <v>0.42917766324156198</v>
      </c>
      <c r="D6" s="3">
        <v>0.64258550575679929</v>
      </c>
      <c r="E6" s="3">
        <v>0.75290925489559613</v>
      </c>
      <c r="F6" s="3">
        <v>0.23595401830252169</v>
      </c>
      <c r="G6" s="3">
        <v>0.57096310336884348</v>
      </c>
      <c r="H6" s="3">
        <v>0.24710956355970201</v>
      </c>
      <c r="I6" s="3">
        <v>1.117342728177317E-2</v>
      </c>
      <c r="J6" s="3">
        <v>2.8487450724541852E-3</v>
      </c>
      <c r="K6" s="3">
        <v>1.2355344791924181E-3</v>
      </c>
      <c r="L6" s="3">
        <v>4.9661221001902312E-4</v>
      </c>
      <c r="M6" s="3">
        <v>7.9710310334012049E-5</v>
      </c>
      <c r="N6" s="3">
        <v>6.8170562554391753E-6</v>
      </c>
      <c r="O6" s="3">
        <v>1</v>
      </c>
    </row>
    <row r="7" spans="1:15" x14ac:dyDescent="0.2">
      <c r="A7" s="4">
        <v>2015</v>
      </c>
      <c r="B7" s="5">
        <v>0.21485923767325571</v>
      </c>
      <c r="C7" s="5">
        <v>0.44009346745227618</v>
      </c>
      <c r="D7" s="5">
        <v>0.68198043857136259</v>
      </c>
      <c r="E7" s="5">
        <v>0.79729559572729314</v>
      </c>
      <c r="F7" s="5">
        <v>0.1974233070037224</v>
      </c>
      <c r="G7" s="5">
        <v>0.56000369989092069</v>
      </c>
      <c r="H7" s="5">
        <v>0.2027165155157894</v>
      </c>
      <c r="I7" s="5">
        <v>5.2936601041407719E-3</v>
      </c>
      <c r="J7" s="5">
        <v>1.4938069849605019E-3</v>
      </c>
      <c r="K7" s="5">
        <v>7.1536864410724483E-4</v>
      </c>
      <c r="L7" s="5">
        <v>3.1990197638407969E-4</v>
      </c>
      <c r="M7" s="5">
        <v>5.5166214400062787E-5</v>
      </c>
      <c r="N7" s="5">
        <v>5.7184810180908806E-6</v>
      </c>
      <c r="O7" s="5">
        <v>1</v>
      </c>
    </row>
    <row r="8" spans="1:15" x14ac:dyDescent="0.2">
      <c r="A8" s="2">
        <v>2016</v>
      </c>
      <c r="B8" s="3">
        <v>0.18994024518954911</v>
      </c>
      <c r="C8" s="3">
        <v>0.41950811887446698</v>
      </c>
      <c r="D8" s="3">
        <v>0.67268587025029436</v>
      </c>
      <c r="E8" s="3">
        <v>0.79575596071369792</v>
      </c>
      <c r="F8" s="3">
        <v>0.19917628161480569</v>
      </c>
      <c r="G8" s="3">
        <v>0.58057613918681117</v>
      </c>
      <c r="H8" s="3">
        <v>0.20425540571761361</v>
      </c>
      <c r="I8" s="3">
        <v>5.0794863270856002E-3</v>
      </c>
      <c r="J8" s="3">
        <v>1.5337202711540299E-3</v>
      </c>
      <c r="K8" s="3">
        <v>7.715325736391787E-4</v>
      </c>
      <c r="L8" s="3">
        <v>3.6304021315513251E-4</v>
      </c>
      <c r="M8" s="3">
        <v>7.576778403988546E-5</v>
      </c>
      <c r="N8" s="3">
        <v>8.5873260034061492E-6</v>
      </c>
      <c r="O8" s="3">
        <v>1</v>
      </c>
    </row>
    <row r="9" spans="1:15" x14ac:dyDescent="0.2">
      <c r="A9" s="4">
        <v>2017</v>
      </c>
      <c r="B9" s="5">
        <v>0.25470568482642197</v>
      </c>
      <c r="C9" s="5">
        <v>0.47570558990025291</v>
      </c>
      <c r="D9" s="5">
        <v>0.71011036274311901</v>
      </c>
      <c r="E9" s="5">
        <v>0.82039427366499884</v>
      </c>
      <c r="F9" s="5">
        <v>0.17389704691848901</v>
      </c>
      <c r="G9" s="5">
        <v>0.52451364141828061</v>
      </c>
      <c r="H9" s="5">
        <v>0.1796149700160215</v>
      </c>
      <c r="I9" s="5">
        <v>5.7185497311478062E-3</v>
      </c>
      <c r="J9" s="5">
        <v>2.0747381876919792E-3</v>
      </c>
      <c r="K9" s="5">
        <v>1.161897345214991E-3</v>
      </c>
      <c r="L9" s="5">
        <v>6.0870758679333441E-4</v>
      </c>
      <c r="M9" s="5">
        <v>1.3999663179713759E-4</v>
      </c>
      <c r="N9" s="5">
        <v>1.864571062463699E-5</v>
      </c>
      <c r="O9" s="5">
        <v>0.99999999999999989</v>
      </c>
    </row>
    <row r="10" spans="1:15" x14ac:dyDescent="0.2">
      <c r="A10" s="2">
        <v>2018</v>
      </c>
      <c r="B10" s="3">
        <v>0.2257650249236908</v>
      </c>
      <c r="C10" s="3">
        <v>0.46630375656831607</v>
      </c>
      <c r="D10" s="3">
        <v>0.71830937214271884</v>
      </c>
      <c r="E10" s="3">
        <v>0.83371369796577455</v>
      </c>
      <c r="F10" s="3">
        <v>0.16197220550124711</v>
      </c>
      <c r="G10" s="3">
        <v>0.5337597499492478</v>
      </c>
      <c r="H10" s="3">
        <v>0.16629390658279669</v>
      </c>
      <c r="I10" s="3">
        <v>4.3217010815496271E-3</v>
      </c>
      <c r="J10" s="3">
        <v>1.4387522962013451E-3</v>
      </c>
      <c r="K10" s="3">
        <v>7.6969700936025938E-4</v>
      </c>
      <c r="L10" s="3">
        <v>3.914995281327435E-4</v>
      </c>
      <c r="M10" s="3">
        <v>8.6129259089308725E-5</v>
      </c>
      <c r="N10" s="3">
        <v>1.2029165964950639E-5</v>
      </c>
      <c r="O10" s="3">
        <v>1</v>
      </c>
    </row>
    <row r="11" spans="1:15" x14ac:dyDescent="0.2">
      <c r="A11" s="4">
        <v>2019</v>
      </c>
      <c r="B11" s="5">
        <v>0.2663359353231915</v>
      </c>
      <c r="C11" s="5">
        <v>0.48369470830622879</v>
      </c>
      <c r="D11" s="5">
        <v>0.72355849107279457</v>
      </c>
      <c r="E11" s="5">
        <v>0.83627272205097314</v>
      </c>
      <c r="F11" s="5">
        <v>0.16050390760178709</v>
      </c>
      <c r="G11" s="5">
        <v>0.51636708709004442</v>
      </c>
      <c r="H11" s="5">
        <v>0.16373507175215751</v>
      </c>
      <c r="I11" s="5">
        <v>3.231338121396646E-3</v>
      </c>
      <c r="J11" s="5">
        <v>1.030287592352516E-3</v>
      </c>
      <c r="K11" s="5">
        <v>5.5210618735259125E-4</v>
      </c>
      <c r="L11" s="5">
        <v>2.8199377302491222E-4</v>
      </c>
      <c r="M11" s="5">
        <v>6.4062445528429969E-5</v>
      </c>
      <c r="N11" s="5">
        <v>8.146385974271434E-6</v>
      </c>
      <c r="O11" s="5">
        <v>1</v>
      </c>
    </row>
    <row r="12" spans="1:15" x14ac:dyDescent="0.2">
      <c r="A12" s="2">
        <v>2020</v>
      </c>
      <c r="B12" s="3">
        <v>0.1537673163085749</v>
      </c>
      <c r="C12" s="3">
        <v>0.36199134406922973</v>
      </c>
      <c r="D12" s="3">
        <v>0.65694783034816662</v>
      </c>
      <c r="E12" s="3">
        <v>0.80285650641107376</v>
      </c>
      <c r="F12" s="3">
        <v>0.195102499813636</v>
      </c>
      <c r="G12" s="3">
        <v>0.638188943321783</v>
      </c>
      <c r="H12" s="3">
        <v>0.19715256779780541</v>
      </c>
      <c r="I12" s="3">
        <v>2.0500679841694569E-3</v>
      </c>
      <c r="J12" s="3">
        <v>5.8591690131925233E-4</v>
      </c>
      <c r="K12" s="3">
        <v>3.3680976514231922E-4</v>
      </c>
      <c r="L12" s="3">
        <v>1.9860625011623891E-4</v>
      </c>
      <c r="M12" s="3">
        <v>6.4200768122696473E-5</v>
      </c>
      <c r="N12" s="3">
        <v>1.299091737075482E-5</v>
      </c>
      <c r="O12" s="3">
        <v>1</v>
      </c>
    </row>
    <row r="13" spans="1:15" x14ac:dyDescent="0.2">
      <c r="A13" s="4">
        <v>2021</v>
      </c>
      <c r="B13" s="5">
        <v>0.23233321674179869</v>
      </c>
      <c r="C13" s="5">
        <v>0.43794030349229002</v>
      </c>
      <c r="D13" s="5">
        <v>0.71733669476554018</v>
      </c>
      <c r="E13" s="5">
        <v>0.84883080524341747</v>
      </c>
      <c r="F13" s="5">
        <v>0.14984604058569509</v>
      </c>
      <c r="G13" s="5">
        <v>0.56210199980256126</v>
      </c>
      <c r="H13" s="5">
        <v>0.15117489799569461</v>
      </c>
      <c r="I13" s="5">
        <v>1.3290215013101389E-3</v>
      </c>
      <c r="J13" s="5">
        <v>3.5378989810698491E-4</v>
      </c>
      <c r="K13" s="5">
        <v>1.9086950985341541E-4</v>
      </c>
      <c r="L13" s="5">
        <v>1.058284314228989E-4</v>
      </c>
      <c r="M13" s="5">
        <v>3.0398897313971461E-5</v>
      </c>
      <c r="N13" s="5">
        <v>5.9396830648255069E-6</v>
      </c>
      <c r="O13" s="5">
        <v>1</v>
      </c>
    </row>
    <row r="14" spans="1:15" x14ac:dyDescent="0.2">
      <c r="A14" s="2">
        <v>2022</v>
      </c>
      <c r="B14" s="3">
        <v>0.2716275552561262</v>
      </c>
      <c r="C14" s="3">
        <v>0.50247587855280462</v>
      </c>
      <c r="D14" s="3">
        <v>0.78167678704170607</v>
      </c>
      <c r="E14" s="3">
        <v>0.89972305625327464</v>
      </c>
      <c r="F14" s="3">
        <v>9.9401541059160645E-2</v>
      </c>
      <c r="G14" s="3">
        <v>0.4975575286104687</v>
      </c>
      <c r="H14" s="3">
        <v>0.1002803655941162</v>
      </c>
      <c r="I14" s="3">
        <v>8.7882453495551809E-4</v>
      </c>
      <c r="J14" s="3">
        <v>3.00670199498886E-4</v>
      </c>
      <c r="K14" s="3">
        <v>1.7778464543926329E-4</v>
      </c>
      <c r="L14" s="3">
        <v>1.0364570649088699E-4</v>
      </c>
      <c r="M14" s="3">
        <v>3.1672242667376493E-5</v>
      </c>
      <c r="N14" s="3">
        <v>6.3323292937200083E-6</v>
      </c>
      <c r="O14" s="3">
        <v>0.99999999999999967</v>
      </c>
    </row>
    <row r="15" spans="1:15" x14ac:dyDescent="0.2">
      <c r="A15" s="4">
        <v>2023</v>
      </c>
      <c r="B15" s="5">
        <v>0.15597275767002741</v>
      </c>
      <c r="C15" s="5">
        <v>0.40352253070691457</v>
      </c>
      <c r="D15" s="5">
        <v>0.73593119388156258</v>
      </c>
      <c r="E15" s="5">
        <v>0.87926037140443636</v>
      </c>
      <c r="F15" s="5">
        <v>0.1198693644512977</v>
      </c>
      <c r="G15" s="5">
        <v>0.59651777473236234</v>
      </c>
      <c r="H15" s="5">
        <v>0.12074401728385541</v>
      </c>
      <c r="I15" s="5">
        <v>8.7465283255772422E-4</v>
      </c>
      <c r="J15" s="5">
        <v>2.90409166608381E-4</v>
      </c>
      <c r="K15" s="5">
        <v>1.7401930608857501E-4</v>
      </c>
      <c r="L15" s="5">
        <v>1.0392577372726811E-4</v>
      </c>
      <c r="M15" s="5">
        <v>3.2982350771712048E-5</v>
      </c>
      <c r="N15" s="5">
        <v>7.0497130604721556E-6</v>
      </c>
      <c r="O15" s="5">
        <v>1</v>
      </c>
    </row>
    <row r="16" spans="1:15" x14ac:dyDescent="0.2">
      <c r="A16" s="2">
        <v>2024</v>
      </c>
      <c r="B16" s="3">
        <v>0.24902353086015069</v>
      </c>
      <c r="C16" s="3">
        <v>0.45093660101826688</v>
      </c>
      <c r="D16" s="3">
        <v>0.71565395472993065</v>
      </c>
      <c r="E16" s="3">
        <v>0.84361448578314568</v>
      </c>
      <c r="F16" s="3">
        <v>0.1544357813037697</v>
      </c>
      <c r="G16" s="3">
        <v>0.54911879628577098</v>
      </c>
      <c r="H16" s="3">
        <v>0.1566118245186599</v>
      </c>
      <c r="I16" s="3">
        <v>2.1760432148902951E-3</v>
      </c>
      <c r="J16" s="3">
        <v>7.5640632358428398E-4</v>
      </c>
      <c r="K16" s="3">
        <v>4.0753913276030178E-4</v>
      </c>
      <c r="L16" s="3">
        <v>1.987068396058306E-4</v>
      </c>
      <c r="M16" s="3">
        <v>3.1343883206762982E-5</v>
      </c>
      <c r="N16" s="3">
        <v>3.7425824484188322E-6</v>
      </c>
      <c r="O16" s="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425B-6C21-7F4C-BEA6-7B7CA5DC2661}">
  <dimension ref="A1:K12"/>
  <sheetViews>
    <sheetView tabSelected="1" workbookViewId="0">
      <selection activeCell="G13" sqref="G13"/>
    </sheetView>
  </sheetViews>
  <sheetFormatPr baseColWidth="10" defaultRowHeight="15" x14ac:dyDescent="0.2"/>
  <sheetData>
    <row r="1" spans="1:11" x14ac:dyDescent="0.2">
      <c r="A1" s="14"/>
      <c r="B1" s="15" t="s">
        <v>23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6" x14ac:dyDescent="0.2">
      <c r="A2" s="17" t="s">
        <v>24</v>
      </c>
      <c r="B2" s="18" t="s">
        <v>25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</row>
    <row r="3" spans="1:11" x14ac:dyDescent="0.2">
      <c r="A3" s="18" t="s">
        <v>25</v>
      </c>
      <c r="B3" s="19">
        <v>9.9570319056510925E-2</v>
      </c>
      <c r="C3" s="20">
        <v>9.571760892868042E-2</v>
      </c>
      <c r="D3" s="20">
        <v>9.7313903272151947E-2</v>
      </c>
      <c r="E3" s="20">
        <v>0.1027389019727707</v>
      </c>
      <c r="F3" s="20">
        <v>0.1136489138007164</v>
      </c>
      <c r="G3" s="20">
        <v>0.1126527264714241</v>
      </c>
      <c r="H3" s="20">
        <v>0.1093401163816452</v>
      </c>
      <c r="I3" s="20">
        <v>9.7505941987037659E-2</v>
      </c>
      <c r="J3" s="20">
        <v>9.8406106233596802E-2</v>
      </c>
      <c r="K3" s="20">
        <v>7.3105454444885254E-2</v>
      </c>
    </row>
    <row r="4" spans="1:11" x14ac:dyDescent="0.2">
      <c r="A4" s="18" t="s">
        <v>26</v>
      </c>
      <c r="B4" s="21">
        <v>7.707194983959198E-2</v>
      </c>
      <c r="C4" s="19">
        <v>8.2971751689910889E-2</v>
      </c>
      <c r="D4" s="21">
        <v>9.0265855193138123E-2</v>
      </c>
      <c r="E4" s="21">
        <v>0.10145153850317</v>
      </c>
      <c r="F4" s="21">
        <v>0.1172571629285812</v>
      </c>
      <c r="G4" s="21">
        <v>0.1153529956936836</v>
      </c>
      <c r="H4" s="21">
        <v>0.1168513596057892</v>
      </c>
      <c r="I4" s="21">
        <v>0.11244992166757579</v>
      </c>
      <c r="J4" s="21">
        <v>0.1006191149353981</v>
      </c>
      <c r="K4" s="21">
        <v>8.5708342492580414E-2</v>
      </c>
    </row>
    <row r="5" spans="1:11" x14ac:dyDescent="0.2">
      <c r="A5" s="18" t="s">
        <v>27</v>
      </c>
      <c r="B5" s="20">
        <v>6.5633147954940796E-2</v>
      </c>
      <c r="C5" s="20">
        <v>6.9718919694423676E-2</v>
      </c>
      <c r="D5" s="19">
        <v>8.301941305398941E-2</v>
      </c>
      <c r="E5" s="20">
        <v>0.1202453374862671</v>
      </c>
      <c r="F5" s="20">
        <v>0.1372838765382767</v>
      </c>
      <c r="G5" s="20">
        <v>0.12393508851528171</v>
      </c>
      <c r="H5" s="20">
        <v>0.1182652339339256</v>
      </c>
      <c r="I5" s="20">
        <v>0.1085192710161209</v>
      </c>
      <c r="J5" s="20">
        <v>9.128754585981369E-2</v>
      </c>
      <c r="K5" s="20">
        <v>8.2092143595218658E-2</v>
      </c>
    </row>
    <row r="6" spans="1:11" x14ac:dyDescent="0.2">
      <c r="A6" s="18" t="s">
        <v>28</v>
      </c>
      <c r="B6" s="21">
        <v>5.2319515496492393E-2</v>
      </c>
      <c r="C6" s="21">
        <v>5.5868115276098251E-2</v>
      </c>
      <c r="D6" s="21">
        <v>6.6941879689693451E-2</v>
      </c>
      <c r="E6" s="19">
        <v>0.12363918125629431</v>
      </c>
      <c r="F6" s="21">
        <v>0.16554473340511319</v>
      </c>
      <c r="G6" s="21">
        <v>0.13537274301052091</v>
      </c>
      <c r="H6" s="21">
        <v>0.1235054433345795</v>
      </c>
      <c r="I6" s="21">
        <v>0.12622484564781189</v>
      </c>
      <c r="J6" s="21">
        <v>8.6031191051006317E-2</v>
      </c>
      <c r="K6" s="21">
        <v>6.4552366733551025E-2</v>
      </c>
    </row>
    <row r="7" spans="1:11" x14ac:dyDescent="0.2">
      <c r="A7" s="18" t="s">
        <v>29</v>
      </c>
      <c r="B7" s="20">
        <v>4.5034550130367279E-2</v>
      </c>
      <c r="C7" s="20">
        <v>4.8958688974380493E-2</v>
      </c>
      <c r="D7" s="20">
        <v>5.6167773902416229E-2</v>
      </c>
      <c r="E7" s="20">
        <v>7.8466594219207764E-2</v>
      </c>
      <c r="F7" s="19">
        <v>0.13111478090286249</v>
      </c>
      <c r="G7" s="20">
        <v>0.1455814987421036</v>
      </c>
      <c r="H7" s="20">
        <v>0.14537923038005829</v>
      </c>
      <c r="I7" s="20">
        <v>0.15721637010574341</v>
      </c>
      <c r="J7" s="20">
        <v>0.11797498166561129</v>
      </c>
      <c r="K7" s="20">
        <v>7.4105538427829742E-2</v>
      </c>
    </row>
    <row r="8" spans="1:11" x14ac:dyDescent="0.2">
      <c r="A8" s="18" t="s">
        <v>30</v>
      </c>
      <c r="B8" s="21">
        <v>4.317181184887886E-2</v>
      </c>
      <c r="C8" s="21">
        <v>4.5296724885702133E-2</v>
      </c>
      <c r="D8" s="21">
        <v>5.0813481211662292E-2</v>
      </c>
      <c r="E8" s="21">
        <v>6.1173431575298309E-2</v>
      </c>
      <c r="F8" s="21">
        <v>9.2999011278152466E-2</v>
      </c>
      <c r="G8" s="19">
        <v>0.13764624297618869</v>
      </c>
      <c r="H8" s="21">
        <v>0.15672233700752261</v>
      </c>
      <c r="I8" s="21">
        <v>0.1686539351940155</v>
      </c>
      <c r="J8" s="21">
        <v>0.13753397762775421</v>
      </c>
      <c r="K8" s="21">
        <v>0.105989046394825</v>
      </c>
    </row>
    <row r="9" spans="1:11" x14ac:dyDescent="0.2">
      <c r="A9" s="18" t="s">
        <v>31</v>
      </c>
      <c r="B9" s="20">
        <v>3.9726994931697852E-2</v>
      </c>
      <c r="C9" s="20">
        <v>4.2774073779582977E-2</v>
      </c>
      <c r="D9" s="20">
        <v>4.5656885951757431E-2</v>
      </c>
      <c r="E9" s="20">
        <v>4.3521467596292503E-2</v>
      </c>
      <c r="F9" s="20">
        <v>5.6161504238843918E-2</v>
      </c>
      <c r="G9" s="20">
        <v>0.1160353496670723</v>
      </c>
      <c r="H9" s="19">
        <v>0.1381451487541199</v>
      </c>
      <c r="I9" s="20">
        <v>0.1741269379854202</v>
      </c>
      <c r="J9" s="20">
        <v>0.1818555146455765</v>
      </c>
      <c r="K9" s="20">
        <v>0.16199612617492681</v>
      </c>
    </row>
    <row r="10" spans="1:11" x14ac:dyDescent="0.2">
      <c r="A10" s="18" t="s">
        <v>32</v>
      </c>
      <c r="B10" s="21">
        <v>3.3780727535486221E-2</v>
      </c>
      <c r="C10" s="21">
        <v>3.4397166222333908E-2</v>
      </c>
      <c r="D10" s="21">
        <v>4.0199890732765198E-2</v>
      </c>
      <c r="E10" s="21">
        <v>3.5761546343564987E-2</v>
      </c>
      <c r="F10" s="21">
        <v>3.1676623970270157E-2</v>
      </c>
      <c r="G10" s="21">
        <v>4.360261932015419E-2</v>
      </c>
      <c r="H10" s="21">
        <v>8.3868265151977539E-2</v>
      </c>
      <c r="I10" s="19">
        <v>0.13415305316448209</v>
      </c>
      <c r="J10" s="21">
        <v>0.34936341643333441</v>
      </c>
      <c r="K10" s="21">
        <v>0.21319667994976041</v>
      </c>
    </row>
    <row r="11" spans="1:11" x14ac:dyDescent="0.2">
      <c r="A11" s="18" t="s">
        <v>33</v>
      </c>
      <c r="B11" s="20">
        <v>4.0001485496759408E-2</v>
      </c>
      <c r="C11" s="20">
        <v>3.7504874169826508E-2</v>
      </c>
      <c r="D11" s="20">
        <v>4.0075734257698059E-2</v>
      </c>
      <c r="E11" s="20">
        <v>3.5045385360717773E-2</v>
      </c>
      <c r="F11" s="20">
        <v>2.8724964708089828E-2</v>
      </c>
      <c r="G11" s="20">
        <v>3.3987339586019523E-2</v>
      </c>
      <c r="H11" s="20">
        <v>4.794609546661377E-2</v>
      </c>
      <c r="I11" s="20">
        <v>8.3993837237358093E-2</v>
      </c>
      <c r="J11" s="19">
        <v>0.2721678614616394</v>
      </c>
      <c r="K11" s="20">
        <v>0.38055241107940668</v>
      </c>
    </row>
    <row r="12" spans="1:11" x14ac:dyDescent="0.2">
      <c r="A12" s="18" t="s">
        <v>34</v>
      </c>
      <c r="B12" s="21">
        <v>4.1374698281288147E-2</v>
      </c>
      <c r="C12" s="21">
        <v>3.3499181270599372E-2</v>
      </c>
      <c r="D12" s="21">
        <v>3.553101047873497E-2</v>
      </c>
      <c r="E12" s="21">
        <v>3.5010028630495071E-2</v>
      </c>
      <c r="F12" s="21">
        <v>2.766417525708675E-2</v>
      </c>
      <c r="G12" s="21">
        <v>2.900136262178421E-2</v>
      </c>
      <c r="H12" s="21">
        <v>3.703317791223526E-2</v>
      </c>
      <c r="I12" s="21">
        <v>4.6419546008110053E-2</v>
      </c>
      <c r="J12" s="21">
        <v>0.1098752245306969</v>
      </c>
      <c r="K12" s="19">
        <v>0.60459160804748535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Concentracion Pretax</vt:lpstr>
      <vt:lpstr>Indice de palma</vt:lpstr>
      <vt:lpstr>Gini</vt:lpstr>
      <vt:lpstr>Capital - All Percentages</vt:lpstr>
      <vt:lpstr>Mat_trans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(Estudiante) Santiago Andres Valdivieso Puertas</cp:lastModifiedBy>
  <dcterms:created xsi:type="dcterms:W3CDTF">2026-03-30T21:24:37Z</dcterms:created>
  <dcterms:modified xsi:type="dcterms:W3CDTF">2026-03-30T21:41:08Z</dcterms:modified>
</cp:coreProperties>
</file>