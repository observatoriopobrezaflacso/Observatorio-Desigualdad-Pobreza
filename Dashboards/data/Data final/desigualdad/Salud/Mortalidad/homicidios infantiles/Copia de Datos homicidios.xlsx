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ero/Library/CloudStorage/GoogleDrive-observatorio.pobreza@flacso.edu.ec/Mi unidad/Boletín 3/4. Resultados/homicidios infantiles/"/>
    </mc:Choice>
  </mc:AlternateContent>
  <xr:revisionPtr revIDLastSave="0" documentId="8_{70D4837D-A3C7-7241-8040-68800EFF281B}" xr6:coauthVersionLast="47" xr6:coauthVersionMax="47" xr10:uidLastSave="{00000000-0000-0000-0000-000000000000}"/>
  <bookViews>
    <workbookView xWindow="0" yWindow="600" windowWidth="28800" windowHeight="17400" xr2:uid="{3514DDEA-F044-499A-BD45-907706EAEF0D}"/>
  </bookViews>
  <sheets>
    <sheet name="Tasa homicidios nacional" sheetId="1" r:id="rId1"/>
  </sheets>
  <definedNames>
    <definedName name="_xlnm.Print_Area" localSheetId="0">'Tasa homicidios nacional'!$B$39:$L$112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6" i="1" l="1"/>
  <c r="L36" i="1"/>
  <c r="K36" i="1"/>
  <c r="J36" i="1"/>
  <c r="I36" i="1"/>
  <c r="H36" i="1"/>
  <c r="G36" i="1"/>
  <c r="F36" i="1"/>
  <c r="E36" i="1"/>
  <c r="D36" i="1"/>
  <c r="C36" i="1"/>
  <c r="B36" i="1"/>
  <c r="AK35" i="1"/>
  <c r="G35" i="1"/>
  <c r="F35" i="1"/>
  <c r="AO34" i="1"/>
  <c r="AG34" i="1"/>
  <c r="K34" i="1"/>
  <c r="J34" i="1"/>
  <c r="C34" i="1"/>
  <c r="B34" i="1"/>
  <c r="V33" i="1"/>
  <c r="K33" i="1"/>
  <c r="C33" i="1"/>
  <c r="K32" i="1"/>
  <c r="J32" i="1"/>
  <c r="C32" i="1"/>
  <c r="B32" i="1"/>
  <c r="K31" i="1"/>
  <c r="C31" i="1"/>
  <c r="AQ29" i="1"/>
  <c r="AQ45" i="1" s="1"/>
  <c r="AP29" i="1"/>
  <c r="AP45" i="1" s="1"/>
  <c r="AO29" i="1"/>
  <c r="AO45" i="1" s="1"/>
  <c r="AN29" i="1"/>
  <c r="AN45" i="1" s="1"/>
  <c r="AM29" i="1"/>
  <c r="AM45" i="1" s="1"/>
  <c r="AL29" i="1"/>
  <c r="AL45" i="1" s="1"/>
  <c r="AK29" i="1"/>
  <c r="AK45" i="1" s="1"/>
  <c r="AJ29" i="1"/>
  <c r="AJ45" i="1" s="1"/>
  <c r="AI29" i="1"/>
  <c r="AI45" i="1" s="1"/>
  <c r="AH29" i="1"/>
  <c r="AH45" i="1" s="1"/>
  <c r="AG29" i="1"/>
  <c r="AG45" i="1" s="1"/>
  <c r="AF29" i="1"/>
  <c r="AF45" i="1" s="1"/>
  <c r="AQ28" i="1"/>
  <c r="AQ44" i="1" s="1"/>
  <c r="AP28" i="1"/>
  <c r="AP44" i="1" s="1"/>
  <c r="AO28" i="1"/>
  <c r="AO44" i="1" s="1"/>
  <c r="AN28" i="1"/>
  <c r="AN44" i="1" s="1"/>
  <c r="AM28" i="1"/>
  <c r="AM44" i="1" s="1"/>
  <c r="AL28" i="1"/>
  <c r="AL44" i="1" s="1"/>
  <c r="AK28" i="1"/>
  <c r="AK44" i="1" s="1"/>
  <c r="AJ28" i="1"/>
  <c r="AJ44" i="1" s="1"/>
  <c r="AI28" i="1"/>
  <c r="AI44" i="1" s="1"/>
  <c r="AH28" i="1"/>
  <c r="AH44" i="1" s="1"/>
  <c r="AG28" i="1"/>
  <c r="AG44" i="1" s="1"/>
  <c r="AF28" i="1"/>
  <c r="AF44" i="1" s="1"/>
  <c r="AQ27" i="1"/>
  <c r="AQ43" i="1" s="1"/>
  <c r="AP27" i="1"/>
  <c r="AP43" i="1" s="1"/>
  <c r="AO27" i="1"/>
  <c r="AO43" i="1" s="1"/>
  <c r="AN27" i="1"/>
  <c r="AN43" i="1" s="1"/>
  <c r="AM27" i="1"/>
  <c r="AM43" i="1" s="1"/>
  <c r="AL27" i="1"/>
  <c r="AL43" i="1" s="1"/>
  <c r="AK27" i="1"/>
  <c r="AK43" i="1" s="1"/>
  <c r="AJ27" i="1"/>
  <c r="AJ43" i="1" s="1"/>
  <c r="AI27" i="1"/>
  <c r="AI43" i="1" s="1"/>
  <c r="AH27" i="1"/>
  <c r="AH43" i="1" s="1"/>
  <c r="AG27" i="1"/>
  <c r="AG43" i="1" s="1"/>
  <c r="AF27" i="1"/>
  <c r="AF43" i="1" s="1"/>
  <c r="AC27" i="1"/>
  <c r="Y27" i="1" s="1"/>
  <c r="Y36" i="1" s="1"/>
  <c r="AA27" i="1"/>
  <c r="AA36" i="1" s="1"/>
  <c r="Z27" i="1"/>
  <c r="Z36" i="1" s="1"/>
  <c r="X27" i="1"/>
  <c r="X36" i="1" s="1"/>
  <c r="W27" i="1"/>
  <c r="W36" i="1" s="1"/>
  <c r="U27" i="1"/>
  <c r="U36" i="1" s="1"/>
  <c r="S27" i="1"/>
  <c r="S36" i="1" s="1"/>
  <c r="R27" i="1"/>
  <c r="R36" i="1" s="1"/>
  <c r="Q27" i="1"/>
  <c r="Q36" i="1" s="1"/>
  <c r="AQ26" i="1"/>
  <c r="AQ42" i="1" s="1"/>
  <c r="AP26" i="1"/>
  <c r="AP42" i="1" s="1"/>
  <c r="AO26" i="1"/>
  <c r="AO42" i="1" s="1"/>
  <c r="AN26" i="1"/>
  <c r="AN42" i="1" s="1"/>
  <c r="AM26" i="1"/>
  <c r="AM42" i="1" s="1"/>
  <c r="AL26" i="1"/>
  <c r="AL42" i="1" s="1"/>
  <c r="AK26" i="1"/>
  <c r="AK42" i="1" s="1"/>
  <c r="AJ26" i="1"/>
  <c r="AJ42" i="1" s="1"/>
  <c r="AI26" i="1"/>
  <c r="AI42" i="1" s="1"/>
  <c r="AH26" i="1"/>
  <c r="AH42" i="1" s="1"/>
  <c r="AG26" i="1"/>
  <c r="AG42" i="1" s="1"/>
  <c r="AF26" i="1"/>
  <c r="AF42" i="1" s="1"/>
  <c r="AC26" i="1"/>
  <c r="AB26" i="1"/>
  <c r="AB35" i="1" s="1"/>
  <c r="AA26" i="1"/>
  <c r="AA35" i="1" s="1"/>
  <c r="T26" i="1"/>
  <c r="T35" i="1" s="1"/>
  <c r="S26" i="1"/>
  <c r="S35" i="1" s="1"/>
  <c r="M26" i="1"/>
  <c r="M35" i="1" s="1"/>
  <c r="L26" i="1"/>
  <c r="L35" i="1" s="1"/>
  <c r="K26" i="1"/>
  <c r="K35" i="1" s="1"/>
  <c r="J26" i="1"/>
  <c r="J35" i="1" s="1"/>
  <c r="I26" i="1"/>
  <c r="I35" i="1" s="1"/>
  <c r="H26" i="1"/>
  <c r="H35" i="1" s="1"/>
  <c r="G26" i="1"/>
  <c r="F26" i="1"/>
  <c r="E26" i="1"/>
  <c r="E35" i="1" s="1"/>
  <c r="D26" i="1"/>
  <c r="D35" i="1" s="1"/>
  <c r="C26" i="1"/>
  <c r="C35" i="1" s="1"/>
  <c r="B26" i="1"/>
  <c r="B35" i="1" s="1"/>
  <c r="AQ25" i="1"/>
  <c r="AQ41" i="1" s="1"/>
  <c r="AP25" i="1"/>
  <c r="AP41" i="1" s="1"/>
  <c r="AI25" i="1"/>
  <c r="AI41" i="1" s="1"/>
  <c r="AH25" i="1"/>
  <c r="AH41" i="1" s="1"/>
  <c r="AC25" i="1"/>
  <c r="M25" i="1"/>
  <c r="M34" i="1" s="1"/>
  <c r="L25" i="1"/>
  <c r="L34" i="1" s="1"/>
  <c r="K25" i="1"/>
  <c r="J25" i="1"/>
  <c r="I25" i="1"/>
  <c r="I34" i="1" s="1"/>
  <c r="H25" i="1"/>
  <c r="H34" i="1" s="1"/>
  <c r="G25" i="1"/>
  <c r="G34" i="1" s="1"/>
  <c r="F25" i="1"/>
  <c r="F34" i="1" s="1"/>
  <c r="E25" i="1"/>
  <c r="E34" i="1" s="1"/>
  <c r="D25" i="1"/>
  <c r="D34" i="1" s="1"/>
  <c r="C25" i="1"/>
  <c r="B25" i="1"/>
  <c r="AB24" i="1"/>
  <c r="AB33" i="1" s="1"/>
  <c r="AA24" i="1"/>
  <c r="AA33" i="1" s="1"/>
  <c r="Z24" i="1"/>
  <c r="Z33" i="1" s="1"/>
  <c r="Y24" i="1"/>
  <c r="Y33" i="1" s="1"/>
  <c r="X24" i="1"/>
  <c r="X33" i="1" s="1"/>
  <c r="W24" i="1"/>
  <c r="W33" i="1" s="1"/>
  <c r="V24" i="1"/>
  <c r="U24" i="1"/>
  <c r="U33" i="1" s="1"/>
  <c r="T24" i="1"/>
  <c r="T33" i="1" s="1"/>
  <c r="S24" i="1"/>
  <c r="S33" i="1" s="1"/>
  <c r="R24" i="1"/>
  <c r="R33" i="1" s="1"/>
  <c r="Q24" i="1"/>
  <c r="Q33" i="1" s="1"/>
  <c r="M24" i="1"/>
  <c r="M33" i="1" s="1"/>
  <c r="L24" i="1"/>
  <c r="L33" i="1" s="1"/>
  <c r="K24" i="1"/>
  <c r="J24" i="1"/>
  <c r="J33" i="1" s="1"/>
  <c r="I24" i="1"/>
  <c r="I33" i="1" s="1"/>
  <c r="H24" i="1"/>
  <c r="H33" i="1" s="1"/>
  <c r="G24" i="1"/>
  <c r="G33" i="1" s="1"/>
  <c r="F24" i="1"/>
  <c r="F33" i="1" s="1"/>
  <c r="E24" i="1"/>
  <c r="E33" i="1" s="1"/>
  <c r="D24" i="1"/>
  <c r="D33" i="1" s="1"/>
  <c r="C24" i="1"/>
  <c r="B24" i="1"/>
  <c r="B33" i="1" s="1"/>
  <c r="AQ23" i="1"/>
  <c r="AQ39" i="1" s="1"/>
  <c r="AJ23" i="1"/>
  <c r="AJ39" i="1" s="1"/>
  <c r="AI23" i="1"/>
  <c r="AI39" i="1" s="1"/>
  <c r="M23" i="1"/>
  <c r="M32" i="1" s="1"/>
  <c r="L23" i="1"/>
  <c r="L32" i="1" s="1"/>
  <c r="K23" i="1"/>
  <c r="J23" i="1"/>
  <c r="I23" i="1"/>
  <c r="I32" i="1" s="1"/>
  <c r="H23" i="1"/>
  <c r="H32" i="1" s="1"/>
  <c r="G23" i="1"/>
  <c r="G32" i="1" s="1"/>
  <c r="F23" i="1"/>
  <c r="F32" i="1" s="1"/>
  <c r="E23" i="1"/>
  <c r="E32" i="1" s="1"/>
  <c r="D23" i="1"/>
  <c r="D32" i="1" s="1"/>
  <c r="C23" i="1"/>
  <c r="B23" i="1"/>
  <c r="AB22" i="1"/>
  <c r="AB31" i="1" s="1"/>
  <c r="Z22" i="1"/>
  <c r="Z31" i="1" s="1"/>
  <c r="U22" i="1"/>
  <c r="U31" i="1" s="1"/>
  <c r="T22" i="1"/>
  <c r="T31" i="1" s="1"/>
  <c r="R22" i="1"/>
  <c r="R31" i="1" s="1"/>
  <c r="M22" i="1"/>
  <c r="AB25" i="1" s="1"/>
  <c r="AB34" i="1" s="1"/>
  <c r="L22" i="1"/>
  <c r="AP23" i="1" s="1"/>
  <c r="AP39" i="1" s="1"/>
  <c r="K22" i="1"/>
  <c r="Z26" i="1" s="1"/>
  <c r="Z35" i="1" s="1"/>
  <c r="J22" i="1"/>
  <c r="Y26" i="1" s="1"/>
  <c r="Y35" i="1" s="1"/>
  <c r="I22" i="1"/>
  <c r="I31" i="1" s="1"/>
  <c r="H22" i="1"/>
  <c r="W25" i="1" s="1"/>
  <c r="W34" i="1" s="1"/>
  <c r="G22" i="1"/>
  <c r="V25" i="1" s="1"/>
  <c r="V34" i="1" s="1"/>
  <c r="F22" i="1"/>
  <c r="U25" i="1" s="1"/>
  <c r="U34" i="1" s="1"/>
  <c r="E22" i="1"/>
  <c r="T25" i="1" s="1"/>
  <c r="T34" i="1" s="1"/>
  <c r="D22" i="1"/>
  <c r="AH23" i="1" s="1"/>
  <c r="AH39" i="1" s="1"/>
  <c r="C22" i="1"/>
  <c r="R26" i="1" s="1"/>
  <c r="R35" i="1" s="1"/>
  <c r="B22" i="1"/>
  <c r="Q26" i="1" s="1"/>
  <c r="Q35" i="1" s="1"/>
  <c r="AQ21" i="1"/>
  <c r="AQ37" i="1" s="1"/>
  <c r="AP21" i="1"/>
  <c r="AP37" i="1" s="1"/>
  <c r="AO21" i="1"/>
  <c r="AO37" i="1" s="1"/>
  <c r="AL21" i="1"/>
  <c r="AL37" i="1" s="1"/>
  <c r="AJ21" i="1"/>
  <c r="AJ37" i="1" s="1"/>
  <c r="AI21" i="1"/>
  <c r="AI37" i="1" s="1"/>
  <c r="AH21" i="1"/>
  <c r="AH37" i="1" s="1"/>
  <c r="AG21" i="1"/>
  <c r="AG37" i="1" s="1"/>
  <c r="AQ20" i="1"/>
  <c r="AQ36" i="1" s="1"/>
  <c r="AP20" i="1"/>
  <c r="AP36" i="1" s="1"/>
  <c r="AO20" i="1"/>
  <c r="AO36" i="1" s="1"/>
  <c r="AN20" i="1"/>
  <c r="AN36" i="1" s="1"/>
  <c r="AM20" i="1"/>
  <c r="AM36" i="1" s="1"/>
  <c r="AL20" i="1"/>
  <c r="AL36" i="1" s="1"/>
  <c r="AK20" i="1"/>
  <c r="AK36" i="1" s="1"/>
  <c r="AJ20" i="1"/>
  <c r="AJ36" i="1" s="1"/>
  <c r="AI20" i="1"/>
  <c r="AI36" i="1" s="1"/>
  <c r="AH20" i="1"/>
  <c r="AH36" i="1" s="1"/>
  <c r="AG20" i="1"/>
  <c r="AG36" i="1" s="1"/>
  <c r="AF20" i="1"/>
  <c r="AF36" i="1" s="1"/>
  <c r="AQ19" i="1"/>
  <c r="AQ35" i="1" s="1"/>
  <c r="AP19" i="1"/>
  <c r="AP35" i="1" s="1"/>
  <c r="AO19" i="1"/>
  <c r="AO35" i="1" s="1"/>
  <c r="AL19" i="1"/>
  <c r="AL35" i="1" s="1"/>
  <c r="AK19" i="1"/>
  <c r="AJ19" i="1"/>
  <c r="AJ35" i="1" s="1"/>
  <c r="AI19" i="1"/>
  <c r="AI35" i="1" s="1"/>
  <c r="AH19" i="1"/>
  <c r="AH35" i="1" s="1"/>
  <c r="AG19" i="1"/>
  <c r="AG35" i="1" s="1"/>
  <c r="AQ18" i="1"/>
  <c r="AQ34" i="1" s="1"/>
  <c r="AP18" i="1"/>
  <c r="AP34" i="1" s="1"/>
  <c r="AO18" i="1"/>
  <c r="AN18" i="1"/>
  <c r="AN34" i="1" s="1"/>
  <c r="AM18" i="1"/>
  <c r="AM34" i="1" s="1"/>
  <c r="AL18" i="1"/>
  <c r="AL34" i="1" s="1"/>
  <c r="AK18" i="1"/>
  <c r="AK34" i="1" s="1"/>
  <c r="AJ18" i="1"/>
  <c r="AJ34" i="1" s="1"/>
  <c r="AI18" i="1"/>
  <c r="AI34" i="1" s="1"/>
  <c r="AH18" i="1"/>
  <c r="AH34" i="1" s="1"/>
  <c r="AG18" i="1"/>
  <c r="AF18" i="1"/>
  <c r="AF34" i="1" s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  <c r="N17" i="1"/>
  <c r="M17" i="1"/>
  <c r="L17" i="1"/>
  <c r="K17" i="1"/>
  <c r="J17" i="1"/>
  <c r="I17" i="1"/>
  <c r="H17" i="1"/>
  <c r="G17" i="1"/>
  <c r="F17" i="1"/>
  <c r="E17" i="1"/>
  <c r="D17" i="1"/>
  <c r="C17" i="1"/>
  <c r="B17" i="1"/>
  <c r="N16" i="1"/>
  <c r="M16" i="1"/>
  <c r="L16" i="1"/>
  <c r="K16" i="1"/>
  <c r="J16" i="1"/>
  <c r="I16" i="1"/>
  <c r="H16" i="1"/>
  <c r="G16" i="1"/>
  <c r="F16" i="1"/>
  <c r="E16" i="1"/>
  <c r="D16" i="1"/>
  <c r="C16" i="1"/>
  <c r="B16" i="1"/>
  <c r="N15" i="1"/>
  <c r="M15" i="1"/>
  <c r="L15" i="1"/>
  <c r="K15" i="1"/>
  <c r="J15" i="1"/>
  <c r="I15" i="1"/>
  <c r="H15" i="1"/>
  <c r="G15" i="1"/>
  <c r="F15" i="1"/>
  <c r="E15" i="1"/>
  <c r="D15" i="1"/>
  <c r="C15" i="1"/>
  <c r="B15" i="1"/>
  <c r="N14" i="1"/>
  <c r="M14" i="1"/>
  <c r="L14" i="1"/>
  <c r="K14" i="1"/>
  <c r="J14" i="1"/>
  <c r="I14" i="1"/>
  <c r="H14" i="1"/>
  <c r="G14" i="1"/>
  <c r="F14" i="1"/>
  <c r="E14" i="1"/>
  <c r="D14" i="1"/>
  <c r="C14" i="1"/>
  <c r="B14" i="1"/>
  <c r="N13" i="1"/>
  <c r="M13" i="1"/>
  <c r="L13" i="1"/>
  <c r="K13" i="1"/>
  <c r="J13" i="1"/>
  <c r="I13" i="1"/>
  <c r="H13" i="1"/>
  <c r="G13" i="1"/>
  <c r="F13" i="1"/>
  <c r="E13" i="1"/>
  <c r="D13" i="1"/>
  <c r="C13" i="1"/>
  <c r="B13" i="1"/>
  <c r="N8" i="1"/>
  <c r="M8" i="1"/>
  <c r="L8" i="1"/>
  <c r="K8" i="1"/>
  <c r="J8" i="1"/>
  <c r="I8" i="1"/>
  <c r="H8" i="1"/>
  <c r="G8" i="1"/>
  <c r="F8" i="1"/>
  <c r="E8" i="1"/>
  <c r="D8" i="1"/>
  <c r="C8" i="1"/>
  <c r="B8" i="1"/>
  <c r="AM22" i="1" l="1"/>
  <c r="AM38" i="1" s="1"/>
  <c r="X23" i="1"/>
  <c r="X32" i="1" s="1"/>
  <c r="AM24" i="1"/>
  <c r="AM40" i="1" s="1"/>
  <c r="X25" i="1"/>
  <c r="X34" i="1" s="1"/>
  <c r="B31" i="1"/>
  <c r="J31" i="1"/>
  <c r="AF22" i="1"/>
  <c r="AF38" i="1" s="1"/>
  <c r="AN22" i="1"/>
  <c r="AN38" i="1" s="1"/>
  <c r="Q23" i="1"/>
  <c r="Q32" i="1" s="1"/>
  <c r="Y23" i="1"/>
  <c r="Y32" i="1" s="1"/>
  <c r="AF24" i="1"/>
  <c r="AF40" i="1" s="1"/>
  <c r="AN24" i="1"/>
  <c r="AN40" i="1" s="1"/>
  <c r="Q25" i="1"/>
  <c r="Q34" i="1" s="1"/>
  <c r="Y25" i="1"/>
  <c r="Y34" i="1" s="1"/>
  <c r="AK21" i="1"/>
  <c r="AK37" i="1" s="1"/>
  <c r="V22" i="1"/>
  <c r="V31" i="1" s="1"/>
  <c r="AG22" i="1"/>
  <c r="AG38" i="1" s="1"/>
  <c r="AO22" i="1"/>
  <c r="AO38" i="1" s="1"/>
  <c r="R23" i="1"/>
  <c r="R32" i="1" s="1"/>
  <c r="Z23" i="1"/>
  <c r="Z32" i="1" s="1"/>
  <c r="AK23" i="1"/>
  <c r="AK39" i="1" s="1"/>
  <c r="AG24" i="1"/>
  <c r="AG40" i="1" s="1"/>
  <c r="AO24" i="1"/>
  <c r="AO40" i="1" s="1"/>
  <c r="R25" i="1"/>
  <c r="R34" i="1" s="1"/>
  <c r="Z25" i="1"/>
  <c r="Z34" i="1" s="1"/>
  <c r="AJ25" i="1"/>
  <c r="AJ41" i="1" s="1"/>
  <c r="U26" i="1"/>
  <c r="U35" i="1" s="1"/>
  <c r="T27" i="1"/>
  <c r="T36" i="1" s="1"/>
  <c r="AB27" i="1"/>
  <c r="AB36" i="1" s="1"/>
  <c r="D31" i="1"/>
  <c r="L31" i="1"/>
  <c r="W22" i="1"/>
  <c r="W31" i="1" s="1"/>
  <c r="AH22" i="1"/>
  <c r="AH38" i="1" s="1"/>
  <c r="AP22" i="1"/>
  <c r="AP38" i="1" s="1"/>
  <c r="S23" i="1"/>
  <c r="S32" i="1" s="1"/>
  <c r="AA23" i="1"/>
  <c r="AA32" i="1" s="1"/>
  <c r="AL23" i="1"/>
  <c r="AL39" i="1" s="1"/>
  <c r="AH24" i="1"/>
  <c r="AH40" i="1" s="1"/>
  <c r="AP24" i="1"/>
  <c r="AP40" i="1" s="1"/>
  <c r="S25" i="1"/>
  <c r="S34" i="1" s="1"/>
  <c r="AA25" i="1"/>
  <c r="AA34" i="1" s="1"/>
  <c r="AK25" i="1"/>
  <c r="AK41" i="1" s="1"/>
  <c r="V26" i="1"/>
  <c r="V35" i="1" s="1"/>
  <c r="E31" i="1"/>
  <c r="M31" i="1"/>
  <c r="AM19" i="1"/>
  <c r="AM35" i="1" s="1"/>
  <c r="AM21" i="1"/>
  <c r="AM37" i="1" s="1"/>
  <c r="X22" i="1"/>
  <c r="X31" i="1" s="1"/>
  <c r="AI22" i="1"/>
  <c r="AI38" i="1" s="1"/>
  <c r="AQ22" i="1"/>
  <c r="AQ38" i="1" s="1"/>
  <c r="T23" i="1"/>
  <c r="T32" i="1" s="1"/>
  <c r="AB23" i="1"/>
  <c r="AB32" i="1" s="1"/>
  <c r="AM23" i="1"/>
  <c r="AM39" i="1" s="1"/>
  <c r="AI24" i="1"/>
  <c r="AI40" i="1" s="1"/>
  <c r="AQ24" i="1"/>
  <c r="AQ40" i="1" s="1"/>
  <c r="AL25" i="1"/>
  <c r="AL41" i="1" s="1"/>
  <c r="W26" i="1"/>
  <c r="W35" i="1" s="1"/>
  <c r="V27" i="1"/>
  <c r="V36" i="1" s="1"/>
  <c r="F31" i="1"/>
  <c r="AF19" i="1"/>
  <c r="AF35" i="1" s="1"/>
  <c r="AN19" i="1"/>
  <c r="AN35" i="1" s="1"/>
  <c r="AF21" i="1"/>
  <c r="AF37" i="1" s="1"/>
  <c r="AN21" i="1"/>
  <c r="AN37" i="1" s="1"/>
  <c r="Q22" i="1"/>
  <c r="Q31" i="1" s="1"/>
  <c r="Y22" i="1"/>
  <c r="Y31" i="1" s="1"/>
  <c r="AJ22" i="1"/>
  <c r="AJ38" i="1" s="1"/>
  <c r="U23" i="1"/>
  <c r="U32" i="1" s="1"/>
  <c r="AF23" i="1"/>
  <c r="AF39" i="1" s="1"/>
  <c r="AN23" i="1"/>
  <c r="AN39" i="1" s="1"/>
  <c r="AJ24" i="1"/>
  <c r="AJ40" i="1" s="1"/>
  <c r="AM25" i="1"/>
  <c r="AM41" i="1" s="1"/>
  <c r="X26" i="1"/>
  <c r="X35" i="1" s="1"/>
  <c r="G31" i="1"/>
  <c r="AK22" i="1"/>
  <c r="AK38" i="1" s="1"/>
  <c r="V23" i="1"/>
  <c r="V32" i="1" s="1"/>
  <c r="AG23" i="1"/>
  <c r="AG39" i="1" s="1"/>
  <c r="AO23" i="1"/>
  <c r="AO39" i="1" s="1"/>
  <c r="AK24" i="1"/>
  <c r="AK40" i="1" s="1"/>
  <c r="AF25" i="1"/>
  <c r="AF41" i="1" s="1"/>
  <c r="AN25" i="1"/>
  <c r="AN41" i="1" s="1"/>
  <c r="H31" i="1"/>
  <c r="S22" i="1"/>
  <c r="S31" i="1" s="1"/>
  <c r="AA22" i="1"/>
  <c r="AA31" i="1" s="1"/>
  <c r="AL22" i="1"/>
  <c r="AL38" i="1" s="1"/>
  <c r="W23" i="1"/>
  <c r="W32" i="1" s="1"/>
  <c r="AL24" i="1"/>
  <c r="AL40" i="1" s="1"/>
  <c r="AG25" i="1"/>
  <c r="AG41" i="1" s="1"/>
  <c r="AO25" i="1"/>
  <c r="AO41" i="1" s="1"/>
</calcChain>
</file>

<file path=xl/sharedStrings.xml><?xml version="1.0" encoding="utf-8"?>
<sst xmlns="http://schemas.openxmlformats.org/spreadsheetml/2006/main" count="117" uniqueCount="39">
  <si>
    <t>Número de homicidios intencionales</t>
  </si>
  <si>
    <t>Etnia</t>
  </si>
  <si>
    <t>Total</t>
  </si>
  <si>
    <t>Género - etnia</t>
  </si>
  <si>
    <t>Edad - etnia</t>
  </si>
  <si>
    <t>Afroecuatoriana</t>
  </si>
  <si>
    <t>Mujer - afroecuatoriana</t>
  </si>
  <si>
    <t>NNA - afroecuatoriana</t>
  </si>
  <si>
    <t>Indígena</t>
  </si>
  <si>
    <t>Mujer - otras etnias</t>
  </si>
  <si>
    <t>Jóvenes - afroecuatoriana</t>
  </si>
  <si>
    <t>Mestiza/blanca</t>
  </si>
  <si>
    <t>Mujer - total</t>
  </si>
  <si>
    <t>Adultos - afroecuatoriana</t>
  </si>
  <si>
    <t>Montuvia</t>
  </si>
  <si>
    <t>Hombre - afroecuatoriana</t>
  </si>
  <si>
    <t>A. Mayor - afroecuatoriana</t>
  </si>
  <si>
    <t>Otros</t>
  </si>
  <si>
    <t>Hombre - otras etnias</t>
  </si>
  <si>
    <t>NNA - otras etnias</t>
  </si>
  <si>
    <t>No identificados</t>
  </si>
  <si>
    <t>Hombre - total</t>
  </si>
  <si>
    <t>Jóvenes - otras etnias</t>
  </si>
  <si>
    <t>Adultos - otras etnias</t>
  </si>
  <si>
    <t>A. Mayor - otras etnias</t>
  </si>
  <si>
    <t>Distribución de homicidios intencionales</t>
  </si>
  <si>
    <t>NNA - total</t>
  </si>
  <si>
    <t>Jóvenes - total</t>
  </si>
  <si>
    <t>Adultos - total</t>
  </si>
  <si>
    <t>A. Mayor - total</t>
  </si>
  <si>
    <t>Población (miles)</t>
  </si>
  <si>
    <t>% CPV</t>
  </si>
  <si>
    <t>Tasa de homicidios intencionales por 100,000 personas</t>
  </si>
  <si>
    <t>Tasa de homicidios por cada 100.000 personas en Ecuador, por etnia</t>
  </si>
  <si>
    <t>Tasa de homicidios por cada 100.000 personas en Ecuador, por género y etnia</t>
  </si>
  <si>
    <t>Fuente: Ministerio del Interior (datos abiertos - homicidios intencionales), INEC (proyecciones de población).</t>
  </si>
  <si>
    <t>Elaborado por: Andrés Mideros-Mora</t>
  </si>
  <si>
    <t xml:space="preserve">Tasa de homicidios de jóvenes y adultos por cada 100.000, por etnia en Ecuador </t>
  </si>
  <si>
    <t>Tasa de homicidios de niños, niñas y adolescentes (NNA) por cada 100.000, por etnia en Ecuador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</si>
</sst>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#,##0.0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Calibri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</cellStyleXfs>
  <cellXfs count="14">
    <xf numFmtId="0" fontId="0" fillId="0" borderId="0" xfId="0"/>
    <xf numFmtId="0" fontId="3" fillId="0" borderId="0" xfId="2" applyFont="1"/>
    <xf numFmtId="0" fontId="4" fillId="0" borderId="1" xfId="2" applyFont="1" applyBorder="1" applyAlignment="1">
      <alignment horizontal="center"/>
    </xf>
    <xf numFmtId="0" fontId="3" fillId="0" borderId="1" xfId="2" applyFont="1" applyBorder="1" applyAlignment="1">
      <alignment horizontal="left"/>
    </xf>
    <xf numFmtId="3" fontId="3" fillId="0" borderId="1" xfId="2" applyNumberFormat="1" applyFont="1" applyBorder="1" applyAlignment="1">
      <alignment horizontal="right"/>
    </xf>
    <xf numFmtId="0" fontId="3" fillId="0" borderId="1" xfId="2" applyFont="1" applyBorder="1"/>
    <xf numFmtId="3" fontId="3" fillId="0" borderId="1" xfId="2" applyNumberFormat="1" applyFont="1" applyBorder="1"/>
    <xf numFmtId="0" fontId="3" fillId="0" borderId="0" xfId="2" applyFont="1" applyAlignment="1">
      <alignment horizontal="left"/>
    </xf>
    <xf numFmtId="3" fontId="3" fillId="0" borderId="0" xfId="2" applyNumberFormat="1" applyFont="1" applyAlignment="1">
      <alignment horizontal="right"/>
    </xf>
    <xf numFmtId="164" fontId="3" fillId="0" borderId="1" xfId="3" applyNumberFormat="1" applyFont="1" applyBorder="1" applyAlignment="1">
      <alignment horizontal="center"/>
    </xf>
    <xf numFmtId="10" fontId="3" fillId="0" borderId="1" xfId="1" applyNumberFormat="1" applyFont="1" applyBorder="1" applyAlignment="1">
      <alignment horizontal="center"/>
    </xf>
    <xf numFmtId="164" fontId="3" fillId="0" borderId="0" xfId="3" applyNumberFormat="1" applyFont="1" applyBorder="1" applyAlignment="1">
      <alignment horizontal="center"/>
    </xf>
    <xf numFmtId="0" fontId="5" fillId="0" borderId="1" xfId="2" applyFont="1" applyBorder="1" applyAlignment="1">
      <alignment horizontal="center"/>
    </xf>
    <xf numFmtId="165" fontId="3" fillId="0" borderId="1" xfId="2" applyNumberFormat="1" applyFont="1" applyBorder="1" applyAlignment="1">
      <alignment horizontal="center"/>
    </xf>
  </cellXfs>
  <cellStyles count="4">
    <cellStyle name="Normal" xfId="0" builtinId="0"/>
    <cellStyle name="Normal 2" xfId="2" xr:uid="{1A56AD0A-CDF5-43DA-9AB7-02F93DAE552F}"/>
    <cellStyle name="Porcentaje" xfId="1" builtinId="5"/>
    <cellStyle name="Porcentaje 2" xfId="3" xr:uid="{9C2952EC-8BFF-41AB-A780-4DD17C72187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'Tasa homicidios nacional'!$A$31</c:f>
              <c:strCache>
                <c:ptCount val="1"/>
                <c:pt idx="0">
                  <c:v>Afroecuatoriana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7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'Tasa homicidios nacional'!$B$30:$M$30</c:f>
              <c:numCache>
                <c:formatCode>General</c:formatCod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numCache>
            </c:numRef>
          </c:cat>
          <c:val>
            <c:numRef>
              <c:f>'Tasa homicidios nacional'!$B$31:$M$31</c:f>
              <c:numCache>
                <c:formatCode>#,##0.0</c:formatCode>
                <c:ptCount val="12"/>
                <c:pt idx="0">
                  <c:v>16.903448274643583</c:v>
                </c:pt>
                <c:pt idx="1">
                  <c:v>13.933494820438305</c:v>
                </c:pt>
                <c:pt idx="2">
                  <c:v>11.824818459991599</c:v>
                </c:pt>
                <c:pt idx="3">
                  <c:v>11.517513813738114</c:v>
                </c:pt>
                <c:pt idx="4">
                  <c:v>8.2808299298062522</c:v>
                </c:pt>
                <c:pt idx="5">
                  <c:v>14.617973028447329</c:v>
                </c:pt>
                <c:pt idx="6">
                  <c:v>14.239218371930697</c:v>
                </c:pt>
                <c:pt idx="7">
                  <c:v>29.280798202240621</c:v>
                </c:pt>
                <c:pt idx="8">
                  <c:v>73.489413915542656</c:v>
                </c:pt>
                <c:pt idx="9">
                  <c:v>82.908601358913273</c:v>
                </c:pt>
                <c:pt idx="10">
                  <c:v>54.982862950842978</c:v>
                </c:pt>
                <c:pt idx="11">
                  <c:v>63.756663991840696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9FE-4CC6-931F-F9ABBDD480BD}"/>
            </c:ext>
          </c:extLst>
        </c:ser>
        <c:ser>
          <c:idx val="1"/>
          <c:order val="1"/>
          <c:tx>
            <c:strRef>
              <c:f>'Tasa homicidios nacional'!$A$32</c:f>
              <c:strCache>
                <c:ptCount val="1"/>
                <c:pt idx="0">
                  <c:v>Indígena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diamond"/>
            <c:size val="7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'Tasa homicidios nacional'!$B$30:$M$30</c:f>
              <c:numCache>
                <c:formatCode>General</c:formatCod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numCache>
            </c:numRef>
          </c:cat>
          <c:val>
            <c:numRef>
              <c:f>'Tasa homicidios nacional'!$B$32:$M$32</c:f>
              <c:numCache>
                <c:formatCode>#,##0.0</c:formatCode>
                <c:ptCount val="12"/>
                <c:pt idx="0">
                  <c:v>1.9520980350496286</c:v>
                </c:pt>
                <c:pt idx="1">
                  <c:v>2.798723747244253</c:v>
                </c:pt>
                <c:pt idx="2">
                  <c:v>2.5181119417466062</c:v>
                </c:pt>
                <c:pt idx="3">
                  <c:v>1.8592828392296741</c:v>
                </c:pt>
                <c:pt idx="4">
                  <c:v>1.9044228652628634</c:v>
                </c:pt>
                <c:pt idx="5">
                  <c:v>2.0986682042246083</c:v>
                </c:pt>
                <c:pt idx="6">
                  <c:v>1.7072265900574435</c:v>
                </c:pt>
                <c:pt idx="7">
                  <c:v>1.8464164695447944</c:v>
                </c:pt>
                <c:pt idx="8">
                  <c:v>2.2765152839119187</c:v>
                </c:pt>
                <c:pt idx="9">
                  <c:v>2.844808395759677</c:v>
                </c:pt>
                <c:pt idx="10">
                  <c:v>2.3894948889606722</c:v>
                </c:pt>
                <c:pt idx="11">
                  <c:v>3.4493102986318336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9FE-4CC6-931F-F9ABBDD480BD}"/>
            </c:ext>
          </c:extLst>
        </c:ser>
        <c:ser>
          <c:idx val="2"/>
          <c:order val="2"/>
          <c:tx>
            <c:strRef>
              <c:f>'Tasa homicidios nacional'!$A$33</c:f>
              <c:strCache>
                <c:ptCount val="1"/>
                <c:pt idx="0">
                  <c:v>Mestiza/blanca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square"/>
            <c:size val="7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'Tasa homicidios nacional'!$B$30:$M$30</c:f>
              <c:numCache>
                <c:formatCode>General</c:formatCod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numCache>
            </c:numRef>
          </c:cat>
          <c:val>
            <c:numRef>
              <c:f>'Tasa homicidios nacional'!$B$33:$M$33</c:f>
              <c:numCache>
                <c:formatCode>#,##0.0</c:formatCode>
                <c:ptCount val="12"/>
                <c:pt idx="0">
                  <c:v>8.8822085720020176</c:v>
                </c:pt>
                <c:pt idx="1">
                  <c:v>6.7034121549367098</c:v>
                </c:pt>
                <c:pt idx="2">
                  <c:v>6.0122134868662904</c:v>
                </c:pt>
                <c:pt idx="3">
                  <c:v>6.1730305190977672</c:v>
                </c:pt>
                <c:pt idx="4">
                  <c:v>6.4741602431875283</c:v>
                </c:pt>
                <c:pt idx="5">
                  <c:v>7.2449873350552503</c:v>
                </c:pt>
                <c:pt idx="6">
                  <c:v>8.4566310907149838</c:v>
                </c:pt>
                <c:pt idx="7">
                  <c:v>15.204362986105878</c:v>
                </c:pt>
                <c:pt idx="8">
                  <c:v>28.761999059990039</c:v>
                </c:pt>
                <c:pt idx="9">
                  <c:v>49.250264259705403</c:v>
                </c:pt>
                <c:pt idx="10">
                  <c:v>42.511680360860851</c:v>
                </c:pt>
                <c:pt idx="11">
                  <c:v>54.425216171755068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9FE-4CC6-931F-F9ABBDD480BD}"/>
            </c:ext>
          </c:extLst>
        </c:ser>
        <c:ser>
          <c:idx val="3"/>
          <c:order val="3"/>
          <c:tx>
            <c:strRef>
              <c:f>'Tasa homicidios nacional'!$A$34</c:f>
              <c:strCache>
                <c:ptCount val="1"/>
                <c:pt idx="0">
                  <c:v>Montuvia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x"/>
            <c:size val="7"/>
            <c:spPr>
              <a:noFill/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'Tasa homicidios nacional'!$B$30:$M$30</c:f>
              <c:numCache>
                <c:formatCode>General</c:formatCod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numCache>
            </c:numRef>
          </c:cat>
          <c:val>
            <c:numRef>
              <c:f>'Tasa homicidios nacional'!$B$34:$M$34</c:f>
              <c:numCache>
                <c:formatCode>#,##0.0</c:formatCode>
                <c:ptCount val="12"/>
                <c:pt idx="0">
                  <c:v>1.623079764509971</c:v>
                </c:pt>
                <c:pt idx="1">
                  <c:v>2.473279326352138</c:v>
                </c:pt>
                <c:pt idx="2">
                  <c:v>2.1983790195156443</c:v>
                </c:pt>
                <c:pt idx="3">
                  <c:v>1.5459081965510038</c:v>
                </c:pt>
                <c:pt idx="4">
                  <c:v>0.76005122534117031</c:v>
                </c:pt>
                <c:pt idx="5">
                  <c:v>1.6452349143880072</c:v>
                </c:pt>
                <c:pt idx="6">
                  <c:v>1.5552568041172385</c:v>
                </c:pt>
                <c:pt idx="7">
                  <c:v>0.66321089354098928</c:v>
                </c:pt>
                <c:pt idx="8">
                  <c:v>2.4911924477773586</c:v>
                </c:pt>
                <c:pt idx="9">
                  <c:v>5.9679029413366331</c:v>
                </c:pt>
                <c:pt idx="10">
                  <c:v>1.9506323176397904</c:v>
                </c:pt>
                <c:pt idx="11">
                  <c:v>3.6566272285247305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9FE-4CC6-931F-F9ABBDD480BD}"/>
            </c:ext>
          </c:extLst>
        </c:ser>
        <c:ser>
          <c:idx val="4"/>
          <c:order val="4"/>
          <c:tx>
            <c:strRef>
              <c:f>'Tasa homicidios nacional'!$A$36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val>
            <c:numRef>
              <c:f>'Tasa homicidios nacional'!$B$36:$M$36</c:f>
              <c:numCache>
                <c:formatCode>#,##0.0</c:formatCode>
                <c:ptCount val="12"/>
                <c:pt idx="0">
                  <c:v>8.190384038979726</c:v>
                </c:pt>
                <c:pt idx="1">
                  <c:v>6.4539244193819094</c:v>
                </c:pt>
                <c:pt idx="2">
                  <c:v>5.8007780543077434</c:v>
                </c:pt>
                <c:pt idx="3">
                  <c:v>5.7762840426342166</c:v>
                </c:pt>
                <c:pt idx="4">
                  <c:v>5.8321045998499921</c:v>
                </c:pt>
                <c:pt idx="5">
                  <c:v>6.8503095026295044</c:v>
                </c:pt>
                <c:pt idx="6">
                  <c:v>7.8281660495519478</c:v>
                </c:pt>
                <c:pt idx="7">
                  <c:v>14.164550405248072</c:v>
                </c:pt>
                <c:pt idx="8">
                  <c:v>27.580677291342667</c:v>
                </c:pt>
                <c:pt idx="9">
                  <c:v>46.246583441132699</c:v>
                </c:pt>
                <c:pt idx="10">
                  <c:v>39.311893258664298</c:v>
                </c:pt>
                <c:pt idx="11">
                  <c:v>50.906833203893576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9FE-4CC6-931F-F9ABBDD480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5925247"/>
        <c:axId val="1925936287"/>
      </c:lineChart>
      <c:catAx>
        <c:axId val="1925925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EC"/>
          </a:p>
        </c:txPr>
        <c:crossAx val="1925936287"/>
        <c:crosses val="autoZero"/>
        <c:auto val="1"/>
        <c:lblAlgn val="ctr"/>
        <c:lblOffset val="100"/>
        <c:noMultiLvlLbl val="0"/>
      </c:catAx>
      <c:valAx>
        <c:axId val="1925936287"/>
        <c:scaling>
          <c:orientation val="minMax"/>
        </c:scaling>
        <c:delete val="0"/>
        <c:axPos val="l"/>
        <c:numFmt formatCode="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EC"/>
          </a:p>
        </c:txPr>
        <c:crossAx val="192592524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EC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'Tasa homicidios nacional'!$P$31</c:f>
              <c:strCache>
                <c:ptCount val="1"/>
                <c:pt idx="0">
                  <c:v>Mujer - afroecuatoriana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7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'Tasa homicidios nacional'!$Q$30:$AB$30</c:f>
              <c:numCache>
                <c:formatCode>General</c:formatCod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numCache>
            </c:numRef>
          </c:cat>
          <c:val>
            <c:numRef>
              <c:f>'Tasa homicidios nacional'!$Q$31:$AB$31</c:f>
              <c:numCache>
                <c:formatCode>#,##0.0</c:formatCode>
                <c:ptCount val="12"/>
                <c:pt idx="0">
                  <c:v>4.9020142855954907</c:v>
                </c:pt>
                <c:pt idx="1">
                  <c:v>2.5364282259612949</c:v>
                </c:pt>
                <c:pt idx="2">
                  <c:v>2.9952762942566635</c:v>
                </c:pt>
                <c:pt idx="3">
                  <c:v>3.1945387496422266</c:v>
                </c:pt>
                <c:pt idx="4">
                  <c:v>0.72489519697595328</c:v>
                </c:pt>
                <c:pt idx="5">
                  <c:v>0.71324312671501366</c:v>
                </c:pt>
                <c:pt idx="6">
                  <c:v>0.9417896439956841</c:v>
                </c:pt>
                <c:pt idx="7">
                  <c:v>1.8741753977776339</c:v>
                </c:pt>
                <c:pt idx="8">
                  <c:v>8.3857510710434671</c:v>
                </c:pt>
                <c:pt idx="9">
                  <c:v>6.2471619860572591</c:v>
                </c:pt>
                <c:pt idx="10">
                  <c:v>7.3497528170592696</c:v>
                </c:pt>
                <c:pt idx="11">
                  <c:v>10.029384774378229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797-48F3-BFB8-B72BAC767A2E}"/>
            </c:ext>
          </c:extLst>
        </c:ser>
        <c:ser>
          <c:idx val="1"/>
          <c:order val="1"/>
          <c:tx>
            <c:strRef>
              <c:f>'Tasa homicidios nacional'!$P$32</c:f>
              <c:strCache>
                <c:ptCount val="1"/>
                <c:pt idx="0">
                  <c:v>Mujer - otras etnias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diamond"/>
            <c:size val="7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'Tasa homicidios nacional'!$Q$30:$AB$30</c:f>
              <c:numCache>
                <c:formatCode>General</c:formatCod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numCache>
            </c:numRef>
          </c:cat>
          <c:val>
            <c:numRef>
              <c:f>'Tasa homicidios nacional'!$Q$32:$AB$32</c:f>
              <c:numCache>
                <c:formatCode>#,##0.0</c:formatCode>
                <c:ptCount val="12"/>
                <c:pt idx="0">
                  <c:v>2.1370644893030168</c:v>
                </c:pt>
                <c:pt idx="1">
                  <c:v>2.0506444502738814</c:v>
                </c:pt>
                <c:pt idx="2">
                  <c:v>2.0427714178674945</c:v>
                </c:pt>
                <c:pt idx="3">
                  <c:v>2.218280090244515</c:v>
                </c:pt>
                <c:pt idx="4">
                  <c:v>1.6299454163901741</c:v>
                </c:pt>
                <c:pt idx="5">
                  <c:v>1.7216678966507555</c:v>
                </c:pt>
                <c:pt idx="6">
                  <c:v>1.8217916313676352</c:v>
                </c:pt>
                <c:pt idx="7">
                  <c:v>2.5447466165192014</c:v>
                </c:pt>
                <c:pt idx="8">
                  <c:v>4.4712671168837081</c:v>
                </c:pt>
                <c:pt idx="9">
                  <c:v>6.5988314080469044</c:v>
                </c:pt>
                <c:pt idx="10">
                  <c:v>5.5137656292526884</c:v>
                </c:pt>
                <c:pt idx="11">
                  <c:v>7.7670936022137909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797-48F3-BFB8-B72BAC767A2E}"/>
            </c:ext>
          </c:extLst>
        </c:ser>
        <c:ser>
          <c:idx val="2"/>
          <c:order val="2"/>
          <c:tx>
            <c:strRef>
              <c:f>'Tasa homicidios nacional'!$P$33</c:f>
              <c:strCache>
                <c:ptCount val="1"/>
                <c:pt idx="0">
                  <c:v>Mujer - total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square"/>
            <c:size val="7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'Tasa homicidios nacional'!$Q$30:$AB$30</c:f>
              <c:numCache>
                <c:formatCode>General</c:formatCod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numCache>
            </c:numRef>
          </c:cat>
          <c:val>
            <c:numRef>
              <c:f>'Tasa homicidios nacional'!$Q$33:$AB$33</c:f>
              <c:numCache>
                <c:formatCode>#,##0.0</c:formatCode>
                <c:ptCount val="12"/>
                <c:pt idx="0">
                  <c:v>2.2677247991472775</c:v>
                </c:pt>
                <c:pt idx="1">
                  <c:v>2.0736006206657431</c:v>
                </c:pt>
                <c:pt idx="2">
                  <c:v>2.0877829339695446</c:v>
                </c:pt>
                <c:pt idx="3">
                  <c:v>2.2644141137613585</c:v>
                </c:pt>
                <c:pt idx="4">
                  <c:v>1.5871764148510339</c:v>
                </c:pt>
                <c:pt idx="5">
                  <c:v>1.6740138332492753</c:v>
                </c:pt>
                <c:pt idx="6">
                  <c:v>1.780206307652983</c:v>
                </c:pt>
                <c:pt idx="7">
                  <c:v>2.5130581412597581</c:v>
                </c:pt>
                <c:pt idx="8">
                  <c:v>4.6562497473158162</c:v>
                </c:pt>
                <c:pt idx="9">
                  <c:v>6.582212937902697</c:v>
                </c:pt>
                <c:pt idx="10">
                  <c:v>5.6005269350639466</c:v>
                </c:pt>
                <c:pt idx="11">
                  <c:v>7.8740003047909237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797-48F3-BFB8-B72BAC767A2E}"/>
            </c:ext>
          </c:extLst>
        </c:ser>
        <c:ser>
          <c:idx val="3"/>
          <c:order val="3"/>
          <c:tx>
            <c:strRef>
              <c:f>'Tasa homicidios nacional'!$P$34</c:f>
              <c:strCache>
                <c:ptCount val="1"/>
                <c:pt idx="0">
                  <c:v>Hombre - afroecuatoriana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x"/>
            <c:size val="7"/>
            <c:spPr>
              <a:noFill/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'Tasa homicidios nacional'!$Q$30:$AB$30</c:f>
              <c:numCache>
                <c:formatCode>General</c:formatCod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numCache>
            </c:numRef>
          </c:cat>
          <c:val>
            <c:numRef>
              <c:f>'Tasa homicidios nacional'!$Q$34:$AB$34</c:f>
              <c:numCache>
                <c:formatCode>#,##0.0</c:formatCode>
                <c:ptCount val="12"/>
                <c:pt idx="0">
                  <c:v>29.097346994130294</c:v>
                </c:pt>
                <c:pt idx="1">
                  <c:v>25.513334019580608</c:v>
                </c:pt>
                <c:pt idx="2">
                  <c:v>20.795958325999294</c:v>
                </c:pt>
                <c:pt idx="3">
                  <c:v>19.973962857161833</c:v>
                </c:pt>
                <c:pt idx="4">
                  <c:v>15.957937761025715</c:v>
                </c:pt>
                <c:pt idx="5">
                  <c:v>28.745690457736835</c:v>
                </c:pt>
                <c:pt idx="6">
                  <c:v>27.749895453186166</c:v>
                </c:pt>
                <c:pt idx="7">
                  <c:v>57.126935840939851</c:v>
                </c:pt>
                <c:pt idx="8">
                  <c:v>139.63713190639913</c:v>
                </c:pt>
                <c:pt idx="9">
                  <c:v>160.56435884864939</c:v>
                </c:pt>
                <c:pt idx="10">
                  <c:v>102.91313006299906</c:v>
                </c:pt>
                <c:pt idx="11">
                  <c:v>118.11396143702038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797-48F3-BFB8-B72BAC767A2E}"/>
            </c:ext>
          </c:extLst>
        </c:ser>
        <c:ser>
          <c:idx val="4"/>
          <c:order val="4"/>
          <c:tx>
            <c:strRef>
              <c:f>'Tasa homicidios nacional'!$P$35</c:f>
              <c:strCache>
                <c:ptCount val="1"/>
                <c:pt idx="0">
                  <c:v>Hombre - otras etnias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'Tasa homicidios nacional'!$Q$30:$AB$30</c:f>
              <c:numCache>
                <c:formatCode>General</c:formatCod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numCache>
            </c:numRef>
          </c:cat>
          <c:val>
            <c:numRef>
              <c:f>'Tasa homicidios nacional'!$Q$35:$AB$35</c:f>
              <c:numCache>
                <c:formatCode>#,##0.0</c:formatCode>
                <c:ptCount val="12"/>
                <c:pt idx="0">
                  <c:v>13.655682137307108</c:v>
                </c:pt>
                <c:pt idx="1">
                  <c:v>10.281019788104947</c:v>
                </c:pt>
                <c:pt idx="2">
                  <c:v>9.0599756159729115</c:v>
                </c:pt>
                <c:pt idx="3">
                  <c:v>8.9194113559721018</c:v>
                </c:pt>
                <c:pt idx="4">
                  <c:v>9.9837333656810188</c:v>
                </c:pt>
                <c:pt idx="5">
                  <c:v>11.40243463268015</c:v>
                </c:pt>
                <c:pt idx="6">
                  <c:v>13.410152420324057</c:v>
                </c:pt>
                <c:pt idx="7">
                  <c:v>24.823990805335335</c:v>
                </c:pt>
                <c:pt idx="8">
                  <c:v>46.831143212064717</c:v>
                </c:pt>
                <c:pt idx="9">
                  <c:v>83.414047802543919</c:v>
                </c:pt>
                <c:pt idx="10">
                  <c:v>72.207348561829988</c:v>
                </c:pt>
                <c:pt idx="11">
                  <c:v>87.516261212554014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797-48F3-BFB8-B72BAC767A2E}"/>
            </c:ext>
          </c:extLst>
        </c:ser>
        <c:ser>
          <c:idx val="5"/>
          <c:order val="5"/>
          <c:tx>
            <c:strRef>
              <c:f>'Tasa homicidios nacional'!$P$36</c:f>
              <c:strCache>
                <c:ptCount val="1"/>
                <c:pt idx="0">
                  <c:v>Hombre - total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plus"/>
            <c:size val="7"/>
            <c:spPr>
              <a:noFill/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'Tasa homicidios nacional'!$Q$30:$AB$30</c:f>
              <c:numCache>
                <c:formatCode>General</c:formatCod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numCache>
            </c:numRef>
          </c:cat>
          <c:val>
            <c:numRef>
              <c:f>'Tasa homicidios nacional'!$Q$36:$AB$36</c:f>
              <c:numCache>
                <c:formatCode>#,##0.0</c:formatCode>
                <c:ptCount val="12"/>
                <c:pt idx="0">
                  <c:v>14.411639574260077</c:v>
                </c:pt>
                <c:pt idx="1">
                  <c:v>11.026728319669177</c:v>
                </c:pt>
                <c:pt idx="2">
                  <c:v>9.6345188075171606</c:v>
                </c:pt>
                <c:pt idx="3">
                  <c:v>9.4605946090078898</c:v>
                </c:pt>
                <c:pt idx="4">
                  <c:v>10.276204694673911</c:v>
                </c:pt>
                <c:pt idx="5">
                  <c:v>12.251485777326399</c:v>
                </c:pt>
                <c:pt idx="6">
                  <c:v>14.11216450841161</c:v>
                </c:pt>
                <c:pt idx="7">
                  <c:v>26.405403934137819</c:v>
                </c:pt>
                <c:pt idx="8">
                  <c:v>51.374524900358189</c:v>
                </c:pt>
                <c:pt idx="9">
                  <c:v>87.190994908915513</c:v>
                </c:pt>
                <c:pt idx="10">
                  <c:v>73.710571439575887</c:v>
                </c:pt>
                <c:pt idx="11">
                  <c:v>89.014192896268938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797-48F3-BFB8-B72BAC767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5925247"/>
        <c:axId val="1925936287"/>
      </c:lineChart>
      <c:catAx>
        <c:axId val="1925925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EC"/>
          </a:p>
        </c:txPr>
        <c:crossAx val="1925936287"/>
        <c:crosses val="autoZero"/>
        <c:auto val="1"/>
        <c:lblAlgn val="ctr"/>
        <c:lblOffset val="100"/>
        <c:noMultiLvlLbl val="0"/>
      </c:catAx>
      <c:valAx>
        <c:axId val="1925936287"/>
        <c:scaling>
          <c:orientation val="minMax"/>
        </c:scaling>
        <c:delete val="0"/>
        <c:axPos val="l"/>
        <c:numFmt formatCode="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EC"/>
          </a:p>
        </c:txPr>
        <c:crossAx val="192592524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EC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'Tasa homicidios nacional'!$AE$35</c:f>
              <c:strCache>
                <c:ptCount val="1"/>
                <c:pt idx="0">
                  <c:v>Jóvenes - afroecuatoriana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diamond"/>
            <c:size val="7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'Tasa homicidios nacional'!$AF$33:$AQ$33</c:f>
              <c:numCache>
                <c:formatCode>General</c:formatCod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numCache>
            </c:numRef>
          </c:cat>
          <c:val>
            <c:numRef>
              <c:f>'Tasa homicidios nacional'!$AF$35:$AQ$35</c:f>
              <c:numCache>
                <c:formatCode>#,##0.0</c:formatCode>
                <c:ptCount val="12"/>
                <c:pt idx="0">
                  <c:v>31.083831381641094</c:v>
                </c:pt>
                <c:pt idx="1">
                  <c:v>27.106367269523169</c:v>
                </c:pt>
                <c:pt idx="2">
                  <c:v>22.111765369149758</c:v>
                </c:pt>
                <c:pt idx="3">
                  <c:v>25.868858763173712</c:v>
                </c:pt>
                <c:pt idx="4">
                  <c:v>20.400986196296756</c:v>
                </c:pt>
                <c:pt idx="5">
                  <c:v>31.326759696393054</c:v>
                </c:pt>
                <c:pt idx="6">
                  <c:v>25.650981894755429</c:v>
                </c:pt>
                <c:pt idx="7">
                  <c:v>64.975053751191751</c:v>
                </c:pt>
                <c:pt idx="8">
                  <c:v>171.25336354784764</c:v>
                </c:pt>
                <c:pt idx="9">
                  <c:v>182.25463866616317</c:v>
                </c:pt>
                <c:pt idx="10">
                  <c:v>124.27531791910602</c:v>
                </c:pt>
                <c:pt idx="11">
                  <c:v>135.75430931344582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02-437D-B2C2-C241D1A90ECA}"/>
            </c:ext>
          </c:extLst>
        </c:ser>
        <c:ser>
          <c:idx val="3"/>
          <c:order val="1"/>
          <c:tx>
            <c:strRef>
              <c:f>'Tasa homicidios nacional'!$AE$39</c:f>
              <c:strCache>
                <c:ptCount val="1"/>
                <c:pt idx="0">
                  <c:v>Jóvenes - otras etnias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x"/>
            <c:size val="7"/>
            <c:spPr>
              <a:noFill/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'Tasa homicidios nacional'!$AF$33:$AQ$33</c:f>
              <c:numCache>
                <c:formatCode>General</c:formatCod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numCache>
            </c:numRef>
          </c:cat>
          <c:val>
            <c:numRef>
              <c:f>'Tasa homicidios nacional'!$AF$39:$AQ$39</c:f>
              <c:numCache>
                <c:formatCode>#,##0.0</c:formatCode>
                <c:ptCount val="12"/>
                <c:pt idx="0">
                  <c:v>14.101018739892218</c:v>
                </c:pt>
                <c:pt idx="1">
                  <c:v>10.211596778211707</c:v>
                </c:pt>
                <c:pt idx="2">
                  <c:v>8.559253739327831</c:v>
                </c:pt>
                <c:pt idx="3">
                  <c:v>8.4552173522078462</c:v>
                </c:pt>
                <c:pt idx="4">
                  <c:v>9.5300791139498884</c:v>
                </c:pt>
                <c:pt idx="5">
                  <c:v>9.9612079086659673</c:v>
                </c:pt>
                <c:pt idx="6">
                  <c:v>10.608825021645764</c:v>
                </c:pt>
                <c:pt idx="7">
                  <c:v>22.455192630077413</c:v>
                </c:pt>
                <c:pt idx="8">
                  <c:v>48.389424891727252</c:v>
                </c:pt>
                <c:pt idx="9">
                  <c:v>85.434051886050369</c:v>
                </c:pt>
                <c:pt idx="10">
                  <c:v>70.802919081801505</c:v>
                </c:pt>
                <c:pt idx="11">
                  <c:v>88.887204333368146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602-437D-B2C2-C241D1A90ECA}"/>
            </c:ext>
          </c:extLst>
        </c:ser>
        <c:ser>
          <c:idx val="5"/>
          <c:order val="2"/>
          <c:tx>
            <c:strRef>
              <c:f>'Tasa homicidios nacional'!$AE$43</c:f>
              <c:strCache>
                <c:ptCount val="1"/>
                <c:pt idx="0">
                  <c:v>Jóvenes - total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plus"/>
            <c:size val="7"/>
            <c:spPr>
              <a:noFill/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'Tasa homicidios nacional'!$AF$33:$AQ$33</c:f>
              <c:numCache>
                <c:formatCode>General</c:formatCod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numCache>
            </c:numRef>
          </c:cat>
          <c:val>
            <c:numRef>
              <c:f>'Tasa homicidios nacional'!$AF$43:$AQ$43</c:f>
              <c:numCache>
                <c:formatCode>#,##0.0</c:formatCode>
                <c:ptCount val="12"/>
                <c:pt idx="0">
                  <c:v>14.917621102196629</c:v>
                </c:pt>
                <c:pt idx="1">
                  <c:v>11.020427129302455</c:v>
                </c:pt>
                <c:pt idx="2">
                  <c:v>9.204387199608318</c:v>
                </c:pt>
                <c:pt idx="3">
                  <c:v>9.2805934693211984</c:v>
                </c:pt>
                <c:pt idx="4">
                  <c:v>10.040932371862072</c:v>
                </c:pt>
                <c:pt idx="5">
                  <c:v>10.96548699883016</c:v>
                </c:pt>
                <c:pt idx="6">
                  <c:v>11.305308870638303</c:v>
                </c:pt>
                <c:pt idx="7">
                  <c:v>24.402993217299514</c:v>
                </c:pt>
                <c:pt idx="8">
                  <c:v>53.951707938606255</c:v>
                </c:pt>
                <c:pt idx="9">
                  <c:v>89.626190285802508</c:v>
                </c:pt>
                <c:pt idx="10">
                  <c:v>73.002169940014284</c:v>
                </c:pt>
                <c:pt idx="11">
                  <c:v>90.682338191658005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602-437D-B2C2-C241D1A90ECA}"/>
            </c:ext>
          </c:extLst>
        </c:ser>
        <c:ser>
          <c:idx val="0"/>
          <c:order val="3"/>
          <c:tx>
            <c:strRef>
              <c:f>'Tasa homicidios nacional'!$AE$36</c:f>
              <c:strCache>
                <c:ptCount val="1"/>
                <c:pt idx="0">
                  <c:v>Adultos - afroecuatoriana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7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'Tasa homicidios nacional'!$AF$33:$AQ$33</c:f>
              <c:numCache>
                <c:formatCode>General</c:formatCod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numCache>
            </c:numRef>
          </c:cat>
          <c:val>
            <c:numRef>
              <c:f>'Tasa homicidios nacional'!$AF$36:$AQ$36</c:f>
              <c:numCache>
                <c:formatCode>#,##0.0</c:formatCode>
                <c:ptCount val="12"/>
                <c:pt idx="0">
                  <c:v>23.832818600991192</c:v>
                </c:pt>
                <c:pt idx="1">
                  <c:v>18.257568001485538</c:v>
                </c:pt>
                <c:pt idx="2">
                  <c:v>15.71453658000922</c:v>
                </c:pt>
                <c:pt idx="3">
                  <c:v>13.96351826185761</c:v>
                </c:pt>
                <c:pt idx="4">
                  <c:v>9.3693186669725002</c:v>
                </c:pt>
                <c:pt idx="5">
                  <c:v>19.467886541476862</c:v>
                </c:pt>
                <c:pt idx="6">
                  <c:v>19.631231166154478</c:v>
                </c:pt>
                <c:pt idx="7">
                  <c:v>35.801191803915238</c:v>
                </c:pt>
                <c:pt idx="8">
                  <c:v>79.942786778510794</c:v>
                </c:pt>
                <c:pt idx="9">
                  <c:v>96.272218475332792</c:v>
                </c:pt>
                <c:pt idx="10">
                  <c:v>58.655608370720692</c:v>
                </c:pt>
                <c:pt idx="11">
                  <c:v>73.076927486376064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602-437D-B2C2-C241D1A90ECA}"/>
            </c:ext>
          </c:extLst>
        </c:ser>
        <c:ser>
          <c:idx val="2"/>
          <c:order val="4"/>
          <c:tx>
            <c:strRef>
              <c:f>'Tasa homicidios nacional'!$AE$40</c:f>
              <c:strCache>
                <c:ptCount val="1"/>
                <c:pt idx="0">
                  <c:v>Adultos - otras etnias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square"/>
            <c:size val="7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'Tasa homicidios nacional'!$AF$33:$AQ$33</c:f>
              <c:numCache>
                <c:formatCode>General</c:formatCod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numCache>
            </c:numRef>
          </c:cat>
          <c:val>
            <c:numRef>
              <c:f>'Tasa homicidios nacional'!$AF$40:$AQ$40</c:f>
              <c:numCache>
                <c:formatCode>#,##0.0</c:formatCode>
                <c:ptCount val="12"/>
                <c:pt idx="0">
                  <c:v>10.561179986670767</c:v>
                </c:pt>
                <c:pt idx="1">
                  <c:v>8.5178325047868082</c:v>
                </c:pt>
                <c:pt idx="2">
                  <c:v>8.0999294751977828</c:v>
                </c:pt>
                <c:pt idx="3">
                  <c:v>8.5128267902273809</c:v>
                </c:pt>
                <c:pt idx="4">
                  <c:v>8.3707227213941415</c:v>
                </c:pt>
                <c:pt idx="5">
                  <c:v>9.9170216386383743</c:v>
                </c:pt>
                <c:pt idx="6">
                  <c:v>12.451120204184766</c:v>
                </c:pt>
                <c:pt idx="7">
                  <c:v>20.968475670550433</c:v>
                </c:pt>
                <c:pt idx="8">
                  <c:v>35.670633847993393</c:v>
                </c:pt>
                <c:pt idx="9">
                  <c:v>59.919589633747577</c:v>
                </c:pt>
                <c:pt idx="10">
                  <c:v>52.449117607136166</c:v>
                </c:pt>
                <c:pt idx="11">
                  <c:v>62.655728183272203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602-437D-B2C2-C241D1A90ECA}"/>
            </c:ext>
          </c:extLst>
        </c:ser>
        <c:ser>
          <c:idx val="4"/>
          <c:order val="5"/>
          <c:tx>
            <c:strRef>
              <c:f>'Tasa homicidios nacional'!$AE$44</c:f>
              <c:strCache>
                <c:ptCount val="1"/>
                <c:pt idx="0">
                  <c:v>Adultos - total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'Tasa homicidios nacional'!$AF$33:$AQ$33</c:f>
              <c:numCache>
                <c:formatCode>General</c:formatCod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numCache>
            </c:numRef>
          </c:cat>
          <c:val>
            <c:numRef>
              <c:f>'Tasa homicidios nacional'!$AF$44:$AQ$44</c:f>
              <c:numCache>
                <c:formatCode>#,##0.0</c:formatCode>
                <c:ptCount val="12"/>
                <c:pt idx="0">
                  <c:v>11.19933408238647</c:v>
                </c:pt>
                <c:pt idx="1">
                  <c:v>8.9959018111946776</c:v>
                </c:pt>
                <c:pt idx="2">
                  <c:v>8.4831771306838721</c:v>
                </c:pt>
                <c:pt idx="3">
                  <c:v>8.7980809656089072</c:v>
                </c:pt>
                <c:pt idx="4">
                  <c:v>8.4398132928279903</c:v>
                </c:pt>
                <c:pt idx="5">
                  <c:v>10.43218908381813</c:v>
                </c:pt>
                <c:pt idx="6">
                  <c:v>12.866530752547277</c:v>
                </c:pt>
                <c:pt idx="7">
                  <c:v>21.836424725072984</c:v>
                </c:pt>
                <c:pt idx="8">
                  <c:v>38.203795229643852</c:v>
                </c:pt>
                <c:pt idx="9">
                  <c:v>62.223723562784663</c:v>
                </c:pt>
                <c:pt idx="10">
                  <c:v>53.12681753122019</c:v>
                </c:pt>
                <c:pt idx="11">
                  <c:v>63.677479390382537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602-437D-B2C2-C241D1A90E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5925247"/>
        <c:axId val="1925936287"/>
      </c:lineChart>
      <c:catAx>
        <c:axId val="1925925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EC"/>
          </a:p>
        </c:txPr>
        <c:crossAx val="1925936287"/>
        <c:crosses val="autoZero"/>
        <c:auto val="1"/>
        <c:lblAlgn val="ctr"/>
        <c:lblOffset val="100"/>
        <c:noMultiLvlLbl val="0"/>
      </c:catAx>
      <c:valAx>
        <c:axId val="1925936287"/>
        <c:scaling>
          <c:orientation val="minMax"/>
        </c:scaling>
        <c:delete val="0"/>
        <c:axPos val="l"/>
        <c:numFmt formatCode="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EC"/>
          </a:p>
        </c:txPr>
        <c:crossAx val="192592524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EC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'Tasa homicidios nacional'!$AE$34</c:f>
              <c:strCache>
                <c:ptCount val="1"/>
                <c:pt idx="0">
                  <c:v>NNA - afroecuatoriana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diamond"/>
            <c:size val="7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'Tasa homicidios nacional'!$AF$33:$AQ$33</c:f>
              <c:numCache>
                <c:formatCode>General</c:formatCod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numCache>
            </c:numRef>
          </c:cat>
          <c:val>
            <c:numRef>
              <c:f>'Tasa homicidios nacional'!$AF$34:$AQ$34</c:f>
              <c:numCache>
                <c:formatCode>#,##0.0</c:formatCode>
                <c:ptCount val="12"/>
                <c:pt idx="0">
                  <c:v>3.2671372080324921</c:v>
                </c:pt>
                <c:pt idx="1">
                  <c:v>2.8979602528219854</c:v>
                </c:pt>
                <c:pt idx="2">
                  <c:v>2.8953635070137884</c:v>
                </c:pt>
                <c:pt idx="3">
                  <c:v>2.1719792311204462</c:v>
                </c:pt>
                <c:pt idx="4">
                  <c:v>0.72450962367648997</c:v>
                </c:pt>
                <c:pt idx="5">
                  <c:v>0.72597549385522131</c:v>
                </c:pt>
                <c:pt idx="6">
                  <c:v>1.824559964617714</c:v>
                </c:pt>
                <c:pt idx="7">
                  <c:v>4.0467121640455295</c:v>
                </c:pt>
                <c:pt idx="8">
                  <c:v>14.112333188348329</c:v>
                </c:pt>
                <c:pt idx="9">
                  <c:v>13.13258919497836</c:v>
                </c:pt>
                <c:pt idx="10">
                  <c:v>14.414195138906795</c:v>
                </c:pt>
                <c:pt idx="11">
                  <c:v>14.582514530965453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88-4B8D-A907-7FBEDCE3C494}"/>
            </c:ext>
          </c:extLst>
        </c:ser>
        <c:ser>
          <c:idx val="2"/>
          <c:order val="1"/>
          <c:tx>
            <c:strRef>
              <c:f>'Tasa homicidios nacional'!$AE$38</c:f>
              <c:strCache>
                <c:ptCount val="1"/>
                <c:pt idx="0">
                  <c:v>NNA - otras etnias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square"/>
            <c:size val="7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'Tasa homicidios nacional'!$AF$33:$AQ$33</c:f>
              <c:numCache>
                <c:formatCode>General</c:formatCod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numCache>
            </c:numRef>
          </c:cat>
          <c:val>
            <c:numRef>
              <c:f>'Tasa homicidios nacional'!$AF$38:$AQ$38</c:f>
              <c:numCache>
                <c:formatCode>#,##0.0</c:formatCode>
                <c:ptCount val="12"/>
                <c:pt idx="0">
                  <c:v>1.3385978797285514</c:v>
                </c:pt>
                <c:pt idx="1">
                  <c:v>1.045579048243261</c:v>
                </c:pt>
                <c:pt idx="2">
                  <c:v>0.88701701094104357</c:v>
                </c:pt>
                <c:pt idx="3">
                  <c:v>0.69860405243294899</c:v>
                </c:pt>
                <c:pt idx="4">
                  <c:v>0.63542162751935161</c:v>
                </c:pt>
                <c:pt idx="5">
                  <c:v>0.82797785539207058</c:v>
                </c:pt>
                <c:pt idx="6">
                  <c:v>0.95383900076764849</c:v>
                </c:pt>
                <c:pt idx="7">
                  <c:v>1.1322320894093623</c:v>
                </c:pt>
                <c:pt idx="8">
                  <c:v>2.6985680303764434</c:v>
                </c:pt>
                <c:pt idx="9">
                  <c:v>5.5418555923942563</c:v>
                </c:pt>
                <c:pt idx="10">
                  <c:v>6.1378589082390338</c:v>
                </c:pt>
                <c:pt idx="11">
                  <c:v>8.2136440301942386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288-4B8D-A907-7FBEDCE3C494}"/>
            </c:ext>
          </c:extLst>
        </c:ser>
        <c:ser>
          <c:idx val="4"/>
          <c:order val="2"/>
          <c:tx>
            <c:strRef>
              <c:f>'Tasa homicidios nacional'!$AE$42</c:f>
              <c:strCache>
                <c:ptCount val="1"/>
                <c:pt idx="0">
                  <c:v>NNA - total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'Tasa homicidios nacional'!$AF$33:$AQ$33</c:f>
              <c:numCache>
                <c:formatCode>General</c:formatCod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numCache>
            </c:numRef>
          </c:cat>
          <c:val>
            <c:numRef>
              <c:f>'Tasa homicidios nacional'!$AF$42:$AQ$42</c:f>
              <c:numCache>
                <c:formatCode>#,##0.0</c:formatCode>
                <c:ptCount val="12"/>
                <c:pt idx="0">
                  <c:v>1.4313298555508893</c:v>
                </c:pt>
                <c:pt idx="1">
                  <c:v>1.1325866003679161</c:v>
                </c:pt>
                <c:pt idx="2">
                  <c:v>0.97946414616130362</c:v>
                </c:pt>
                <c:pt idx="3">
                  <c:v>0.76476419364307913</c:v>
                </c:pt>
                <c:pt idx="4">
                  <c:v>0.63756355078464977</c:v>
                </c:pt>
                <c:pt idx="5">
                  <c:v>0.82033534266527919</c:v>
                </c:pt>
                <c:pt idx="6">
                  <c:v>0.98762145271338919</c:v>
                </c:pt>
                <c:pt idx="7">
                  <c:v>1.2521381364509589</c:v>
                </c:pt>
                <c:pt idx="8">
                  <c:v>3.1676736294428021</c:v>
                </c:pt>
                <c:pt idx="9">
                  <c:v>5.8232689554554842</c:v>
                </c:pt>
                <c:pt idx="10">
                  <c:v>6.4332140585585647</c:v>
                </c:pt>
                <c:pt idx="11">
                  <c:v>8.4047156554910813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288-4B8D-A907-7FBEDCE3C4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5925247"/>
        <c:axId val="1925936287"/>
      </c:lineChart>
      <c:catAx>
        <c:axId val="1925925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EC"/>
          </a:p>
        </c:txPr>
        <c:crossAx val="1925936287"/>
        <c:crosses val="autoZero"/>
        <c:auto val="1"/>
        <c:lblAlgn val="ctr"/>
        <c:lblOffset val="100"/>
        <c:noMultiLvlLbl val="0"/>
      </c:catAx>
      <c:valAx>
        <c:axId val="1925936287"/>
        <c:scaling>
          <c:orientation val="minMax"/>
        </c:scaling>
        <c:delete val="0"/>
        <c:axPos val="l"/>
        <c:numFmt formatCode="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EC"/>
          </a:p>
        </c:txPr>
        <c:crossAx val="192592524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EC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'Tasa homicidios nacional'!$AE$35</c:f>
              <c:strCache>
                <c:ptCount val="1"/>
                <c:pt idx="0">
                  <c:v>Jóvenes - afroecuatoriana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diamond"/>
            <c:size val="7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'Tasa homicidios nacional'!$AF$33:$AQ$33</c:f>
              <c:numCache>
                <c:formatCode>General</c:formatCod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numCache>
            </c:numRef>
          </c:cat>
          <c:val>
            <c:numRef>
              <c:f>'Tasa homicidios nacional'!$AF$35:$AQ$35</c:f>
              <c:numCache>
                <c:formatCode>#,##0.0</c:formatCode>
                <c:ptCount val="12"/>
                <c:pt idx="0">
                  <c:v>31.083831381641094</c:v>
                </c:pt>
                <c:pt idx="1">
                  <c:v>27.106367269523169</c:v>
                </c:pt>
                <c:pt idx="2">
                  <c:v>22.111765369149758</c:v>
                </c:pt>
                <c:pt idx="3">
                  <c:v>25.868858763173712</c:v>
                </c:pt>
                <c:pt idx="4">
                  <c:v>20.400986196296756</c:v>
                </c:pt>
                <c:pt idx="5">
                  <c:v>31.326759696393054</c:v>
                </c:pt>
                <c:pt idx="6">
                  <c:v>25.650981894755429</c:v>
                </c:pt>
                <c:pt idx="7">
                  <c:v>64.975053751191751</c:v>
                </c:pt>
                <c:pt idx="8">
                  <c:v>171.25336354784764</c:v>
                </c:pt>
                <c:pt idx="9">
                  <c:v>182.25463866616317</c:v>
                </c:pt>
                <c:pt idx="10">
                  <c:v>124.27531791910602</c:v>
                </c:pt>
                <c:pt idx="11">
                  <c:v>135.75430931344582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BF5-4168-8866-D3DC2B7B11FE}"/>
            </c:ext>
          </c:extLst>
        </c:ser>
        <c:ser>
          <c:idx val="5"/>
          <c:order val="1"/>
          <c:tx>
            <c:strRef>
              <c:f>'Tasa homicidios nacional'!$AE$43</c:f>
              <c:strCache>
                <c:ptCount val="1"/>
                <c:pt idx="0">
                  <c:v>Jóvenes - total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plus"/>
            <c:size val="7"/>
            <c:spPr>
              <a:noFill/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'Tasa homicidios nacional'!$AF$33:$AQ$33</c:f>
              <c:numCache>
                <c:formatCode>General</c:formatCod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numCache>
            </c:numRef>
          </c:cat>
          <c:val>
            <c:numRef>
              <c:f>'Tasa homicidios nacional'!$AF$43:$AQ$43</c:f>
              <c:numCache>
                <c:formatCode>#,##0.0</c:formatCode>
                <c:ptCount val="12"/>
                <c:pt idx="0">
                  <c:v>14.917621102196629</c:v>
                </c:pt>
                <c:pt idx="1">
                  <c:v>11.020427129302455</c:v>
                </c:pt>
                <c:pt idx="2">
                  <c:v>9.204387199608318</c:v>
                </c:pt>
                <c:pt idx="3">
                  <c:v>9.2805934693211984</c:v>
                </c:pt>
                <c:pt idx="4">
                  <c:v>10.040932371862072</c:v>
                </c:pt>
                <c:pt idx="5">
                  <c:v>10.96548699883016</c:v>
                </c:pt>
                <c:pt idx="6">
                  <c:v>11.305308870638303</c:v>
                </c:pt>
                <c:pt idx="7">
                  <c:v>24.402993217299514</c:v>
                </c:pt>
                <c:pt idx="8">
                  <c:v>53.951707938606255</c:v>
                </c:pt>
                <c:pt idx="9">
                  <c:v>89.626190285802508</c:v>
                </c:pt>
                <c:pt idx="10">
                  <c:v>73.002169940014284</c:v>
                </c:pt>
                <c:pt idx="11">
                  <c:v>90.682338191658005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BF5-4168-8866-D3DC2B7B11FE}"/>
            </c:ext>
          </c:extLst>
        </c:ser>
        <c:ser>
          <c:idx val="0"/>
          <c:order val="2"/>
          <c:tx>
            <c:strRef>
              <c:f>'Tasa homicidios nacional'!$AE$36</c:f>
              <c:strCache>
                <c:ptCount val="1"/>
                <c:pt idx="0">
                  <c:v>Adultos - afroecuatoriana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7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'Tasa homicidios nacional'!$AF$33:$AQ$33</c:f>
              <c:numCache>
                <c:formatCode>General</c:formatCod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numCache>
            </c:numRef>
          </c:cat>
          <c:val>
            <c:numRef>
              <c:f>'Tasa homicidios nacional'!$AF$36:$AQ$36</c:f>
              <c:numCache>
                <c:formatCode>#,##0.0</c:formatCode>
                <c:ptCount val="12"/>
                <c:pt idx="0">
                  <c:v>23.832818600991192</c:v>
                </c:pt>
                <c:pt idx="1">
                  <c:v>18.257568001485538</c:v>
                </c:pt>
                <c:pt idx="2">
                  <c:v>15.71453658000922</c:v>
                </c:pt>
                <c:pt idx="3">
                  <c:v>13.96351826185761</c:v>
                </c:pt>
                <c:pt idx="4">
                  <c:v>9.3693186669725002</c:v>
                </c:pt>
                <c:pt idx="5">
                  <c:v>19.467886541476862</c:v>
                </c:pt>
                <c:pt idx="6">
                  <c:v>19.631231166154478</c:v>
                </c:pt>
                <c:pt idx="7">
                  <c:v>35.801191803915238</c:v>
                </c:pt>
                <c:pt idx="8">
                  <c:v>79.942786778510794</c:v>
                </c:pt>
                <c:pt idx="9">
                  <c:v>96.272218475332792</c:v>
                </c:pt>
                <c:pt idx="10">
                  <c:v>58.655608370720692</c:v>
                </c:pt>
                <c:pt idx="11">
                  <c:v>73.076927486376064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BF5-4168-8866-D3DC2B7B11FE}"/>
            </c:ext>
          </c:extLst>
        </c:ser>
        <c:ser>
          <c:idx val="4"/>
          <c:order val="3"/>
          <c:tx>
            <c:strRef>
              <c:f>'Tasa homicidios nacional'!$AE$44</c:f>
              <c:strCache>
                <c:ptCount val="1"/>
                <c:pt idx="0">
                  <c:v>Adultos - total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'Tasa homicidios nacional'!$AF$33:$AQ$33</c:f>
              <c:numCache>
                <c:formatCode>General</c:formatCod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numCache>
            </c:numRef>
          </c:cat>
          <c:val>
            <c:numRef>
              <c:f>'Tasa homicidios nacional'!$AF$44:$AQ$44</c:f>
              <c:numCache>
                <c:formatCode>#,##0.0</c:formatCode>
                <c:ptCount val="12"/>
                <c:pt idx="0">
                  <c:v>11.19933408238647</c:v>
                </c:pt>
                <c:pt idx="1">
                  <c:v>8.9959018111946776</c:v>
                </c:pt>
                <c:pt idx="2">
                  <c:v>8.4831771306838721</c:v>
                </c:pt>
                <c:pt idx="3">
                  <c:v>8.7980809656089072</c:v>
                </c:pt>
                <c:pt idx="4">
                  <c:v>8.4398132928279903</c:v>
                </c:pt>
                <c:pt idx="5">
                  <c:v>10.43218908381813</c:v>
                </c:pt>
                <c:pt idx="6">
                  <c:v>12.866530752547277</c:v>
                </c:pt>
                <c:pt idx="7">
                  <c:v>21.836424725072984</c:v>
                </c:pt>
                <c:pt idx="8">
                  <c:v>38.203795229643852</c:v>
                </c:pt>
                <c:pt idx="9">
                  <c:v>62.223723562784663</c:v>
                </c:pt>
                <c:pt idx="10">
                  <c:v>53.12681753122019</c:v>
                </c:pt>
                <c:pt idx="11">
                  <c:v>63.677479390382537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BF5-4168-8866-D3DC2B7B11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5925247"/>
        <c:axId val="1925936287"/>
      </c:lineChart>
      <c:catAx>
        <c:axId val="1925925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EC"/>
          </a:p>
        </c:txPr>
        <c:crossAx val="1925936287"/>
        <c:crosses val="autoZero"/>
        <c:auto val="1"/>
        <c:lblAlgn val="ctr"/>
        <c:lblOffset val="100"/>
        <c:noMultiLvlLbl val="0"/>
      </c:catAx>
      <c:valAx>
        <c:axId val="1925936287"/>
        <c:scaling>
          <c:orientation val="minMax"/>
        </c:scaling>
        <c:delete val="0"/>
        <c:axPos val="l"/>
        <c:numFmt formatCode="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EC"/>
          </a:p>
        </c:txPr>
        <c:crossAx val="192592524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EC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23811</xdr:colOff>
      <xdr:row>39</xdr:row>
      <xdr:rowOff>11906</xdr:rowOff>
    </xdr:from>
    <xdr:to>
      <xdr:col>11</xdr:col>
      <xdr:colOff>226219</xdr:colOff>
      <xdr:row>60</xdr:row>
      <xdr:rowOff>11906</xdr:rowOff>
    </xdr:to>
    <xdr:graphicFrame macro="">
      <xdr:nvGraphicFramePr>
        <xdr:cNvPr id="2" name="Gráfico 2">
          <a:extLst>
            <a:ext uri="{FF2B5EF4-FFF2-40B4-BE49-F238E27FC236}">
              <a16:creationId xmlns:a16="http://schemas.microsoft.com/office/drawing/2014/main" id="{28813BFD-D94F-4E92-AAEE-461FDD370D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23811</xdr:colOff>
      <xdr:row>39</xdr:row>
      <xdr:rowOff>11906</xdr:rowOff>
    </xdr:from>
    <xdr:to>
      <xdr:col>26</xdr:col>
      <xdr:colOff>226219</xdr:colOff>
      <xdr:row>60</xdr:row>
      <xdr:rowOff>11906</xdr:rowOff>
    </xdr:to>
    <xdr:graphicFrame macro="">
      <xdr:nvGraphicFramePr>
        <xdr:cNvPr id="3" name="Gráfico 3">
          <a:extLst>
            <a:ext uri="{FF2B5EF4-FFF2-40B4-BE49-F238E27FC236}">
              <a16:creationId xmlns:a16="http://schemas.microsoft.com/office/drawing/2014/main" id="{5EB07652-C99A-45FC-B2DF-F101E210D2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23811</xdr:colOff>
      <xdr:row>64</xdr:row>
      <xdr:rowOff>11906</xdr:rowOff>
    </xdr:from>
    <xdr:to>
      <xdr:col>11</xdr:col>
      <xdr:colOff>226219</xdr:colOff>
      <xdr:row>85</xdr:row>
      <xdr:rowOff>11906</xdr:rowOff>
    </xdr:to>
    <xdr:graphicFrame macro="">
      <xdr:nvGraphicFramePr>
        <xdr:cNvPr id="4" name="Gráfico 4">
          <a:extLst>
            <a:ext uri="{FF2B5EF4-FFF2-40B4-BE49-F238E27FC236}">
              <a16:creationId xmlns:a16="http://schemas.microsoft.com/office/drawing/2014/main" id="{FDDA2F87-6795-4E2D-96AB-E2C1F61E2F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23811</xdr:colOff>
      <xdr:row>89</xdr:row>
      <xdr:rowOff>11906</xdr:rowOff>
    </xdr:from>
    <xdr:to>
      <xdr:col>11</xdr:col>
      <xdr:colOff>226219</xdr:colOff>
      <xdr:row>110</xdr:row>
      <xdr:rowOff>11906</xdr:rowOff>
    </xdr:to>
    <xdr:graphicFrame macro="">
      <xdr:nvGraphicFramePr>
        <xdr:cNvPr id="5" name="Gráfico 5">
          <a:extLst>
            <a:ext uri="{FF2B5EF4-FFF2-40B4-BE49-F238E27FC236}">
              <a16:creationId xmlns:a16="http://schemas.microsoft.com/office/drawing/2014/main" id="{0314F5BF-52CC-4855-A62C-0BFB6F4C47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323850</xdr:colOff>
      <xdr:row>64</xdr:row>
      <xdr:rowOff>0</xdr:rowOff>
    </xdr:from>
    <xdr:to>
      <xdr:col>20</xdr:col>
      <xdr:colOff>145258</xdr:colOff>
      <xdr:row>85</xdr:row>
      <xdr:rowOff>0</xdr:rowOff>
    </xdr:to>
    <xdr:graphicFrame macro="">
      <xdr:nvGraphicFramePr>
        <xdr:cNvPr id="6" name="Gráfico 4">
          <a:extLst>
            <a:ext uri="{FF2B5EF4-FFF2-40B4-BE49-F238E27FC236}">
              <a16:creationId xmlns:a16="http://schemas.microsoft.com/office/drawing/2014/main" id="{16584FB6-10A2-4845-941B-F348E4DF84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F096F-56D2-4AAD-9F05-89FFA516A77B}">
  <sheetPr>
    <tabColor rgb="FF00B050"/>
    <pageSetUpPr fitToPage="1"/>
  </sheetPr>
  <dimension ref="A1:BF112"/>
  <sheetViews>
    <sheetView showGridLines="0" tabSelected="1" topLeftCell="A11" zoomScale="89" zoomScaleNormal="70" zoomScaleSheetLayoutView="20" workbookViewId="0">
      <selection activeCell="N95" sqref="N95"/>
    </sheetView>
  </sheetViews>
  <sheetFormatPr baseColWidth="10" defaultColWidth="8.6640625" defaultRowHeight="13" x14ac:dyDescent="0.15"/>
  <cols>
    <col min="1" max="1" width="15.5" style="1" bestFit="1" customWidth="1"/>
    <col min="2" max="15" width="8.6640625" style="1"/>
    <col min="16" max="16" width="22.6640625" style="1" bestFit="1" customWidth="1"/>
    <col min="17" max="30" width="8.6640625" style="1"/>
    <col min="31" max="31" width="24.83203125" style="1" bestFit="1" customWidth="1"/>
    <col min="32" max="16384" width="8.6640625" style="1"/>
  </cols>
  <sheetData>
    <row r="1" spans="1:44" x14ac:dyDescent="0.15">
      <c r="A1" s="1" t="s">
        <v>0</v>
      </c>
      <c r="P1" s="1" t="s">
        <v>0</v>
      </c>
      <c r="AE1" s="1" t="s">
        <v>0</v>
      </c>
    </row>
    <row r="2" spans="1:44" x14ac:dyDescent="0.15">
      <c r="A2" s="2" t="s">
        <v>1</v>
      </c>
      <c r="B2" s="2">
        <v>2014</v>
      </c>
      <c r="C2" s="2">
        <v>2015</v>
      </c>
      <c r="D2" s="2">
        <v>2016</v>
      </c>
      <c r="E2" s="2">
        <v>2017</v>
      </c>
      <c r="F2" s="2">
        <v>2018</v>
      </c>
      <c r="G2" s="2">
        <v>2019</v>
      </c>
      <c r="H2" s="2">
        <v>2020</v>
      </c>
      <c r="I2" s="2">
        <v>2021</v>
      </c>
      <c r="J2" s="2">
        <v>2022</v>
      </c>
      <c r="K2" s="2">
        <v>2023</v>
      </c>
      <c r="L2" s="2">
        <v>2024</v>
      </c>
      <c r="M2" s="2">
        <v>2025</v>
      </c>
      <c r="N2" s="2" t="s">
        <v>2</v>
      </c>
      <c r="P2" s="2" t="s">
        <v>3</v>
      </c>
      <c r="Q2" s="2">
        <v>2014</v>
      </c>
      <c r="R2" s="2">
        <v>2015</v>
      </c>
      <c r="S2" s="2">
        <v>2016</v>
      </c>
      <c r="T2" s="2">
        <v>2017</v>
      </c>
      <c r="U2" s="2">
        <v>2018</v>
      </c>
      <c r="V2" s="2">
        <v>2019</v>
      </c>
      <c r="W2" s="2">
        <v>2020</v>
      </c>
      <c r="X2" s="2">
        <v>2021</v>
      </c>
      <c r="Y2" s="2">
        <v>2022</v>
      </c>
      <c r="Z2" s="2">
        <v>2023</v>
      </c>
      <c r="AA2" s="2">
        <v>2024</v>
      </c>
      <c r="AB2" s="2">
        <v>2025</v>
      </c>
      <c r="AC2" s="2" t="s">
        <v>2</v>
      </c>
      <c r="AE2" s="2" t="s">
        <v>4</v>
      </c>
      <c r="AF2" s="2">
        <v>2014</v>
      </c>
      <c r="AG2" s="2">
        <v>2015</v>
      </c>
      <c r="AH2" s="2">
        <v>2016</v>
      </c>
      <c r="AI2" s="2">
        <v>2017</v>
      </c>
      <c r="AJ2" s="2">
        <v>2018</v>
      </c>
      <c r="AK2" s="2">
        <v>2019</v>
      </c>
      <c r="AL2" s="2">
        <v>2020</v>
      </c>
      <c r="AM2" s="2">
        <v>2021</v>
      </c>
      <c r="AN2" s="2">
        <v>2022</v>
      </c>
      <c r="AO2" s="2">
        <v>2023</v>
      </c>
      <c r="AP2" s="2">
        <v>2024</v>
      </c>
      <c r="AQ2" s="2">
        <v>2025</v>
      </c>
      <c r="AR2" s="2" t="s">
        <v>2</v>
      </c>
    </row>
    <row r="3" spans="1:44" x14ac:dyDescent="0.15">
      <c r="A3" s="3" t="s">
        <v>5</v>
      </c>
      <c r="B3" s="4">
        <v>130</v>
      </c>
      <c r="C3" s="4">
        <v>109</v>
      </c>
      <c r="D3" s="4">
        <v>94</v>
      </c>
      <c r="E3" s="4">
        <v>93</v>
      </c>
      <c r="F3" s="4">
        <v>68</v>
      </c>
      <c r="G3" s="4">
        <v>122</v>
      </c>
      <c r="H3" s="4">
        <v>120</v>
      </c>
      <c r="I3" s="4">
        <v>248</v>
      </c>
      <c r="J3" s="4">
        <v>626</v>
      </c>
      <c r="K3" s="4">
        <v>711</v>
      </c>
      <c r="L3" s="4">
        <v>475</v>
      </c>
      <c r="M3" s="4">
        <v>555</v>
      </c>
      <c r="N3" s="4">
        <v>3351</v>
      </c>
      <c r="P3" s="5" t="s">
        <v>6</v>
      </c>
      <c r="Q3" s="6">
        <v>19</v>
      </c>
      <c r="R3" s="6">
        <v>10</v>
      </c>
      <c r="S3" s="6">
        <v>12</v>
      </c>
      <c r="T3" s="6">
        <v>13</v>
      </c>
      <c r="U3" s="6">
        <v>3</v>
      </c>
      <c r="V3" s="6">
        <v>3</v>
      </c>
      <c r="W3" s="6">
        <v>4</v>
      </c>
      <c r="X3" s="6">
        <v>8</v>
      </c>
      <c r="Y3" s="6">
        <v>36</v>
      </c>
      <c r="Z3" s="6">
        <v>27</v>
      </c>
      <c r="AA3" s="6">
        <v>32</v>
      </c>
      <c r="AB3" s="6">
        <v>44</v>
      </c>
      <c r="AC3" s="6">
        <v>211</v>
      </c>
      <c r="AE3" s="5" t="s">
        <v>7</v>
      </c>
      <c r="AF3" s="6">
        <v>9</v>
      </c>
      <c r="AG3" s="6">
        <v>8</v>
      </c>
      <c r="AH3" s="6">
        <v>8</v>
      </c>
      <c r="AI3" s="6">
        <v>6</v>
      </c>
      <c r="AJ3" s="6">
        <v>2</v>
      </c>
      <c r="AK3" s="6">
        <v>2</v>
      </c>
      <c r="AL3" s="6">
        <v>5</v>
      </c>
      <c r="AM3" s="6">
        <v>11</v>
      </c>
      <c r="AN3" s="6">
        <v>38</v>
      </c>
      <c r="AO3" s="6">
        <v>35</v>
      </c>
      <c r="AP3" s="6">
        <v>38</v>
      </c>
      <c r="AQ3" s="6">
        <v>38</v>
      </c>
      <c r="AR3" s="6">
        <v>200</v>
      </c>
    </row>
    <row r="4" spans="1:44" x14ac:dyDescent="0.15">
      <c r="A4" s="3" t="s">
        <v>8</v>
      </c>
      <c r="B4" s="4">
        <v>24</v>
      </c>
      <c r="C4" s="4">
        <v>35</v>
      </c>
      <c r="D4" s="4">
        <v>32</v>
      </c>
      <c r="E4" s="4">
        <v>24</v>
      </c>
      <c r="F4" s="4">
        <v>25</v>
      </c>
      <c r="G4" s="4">
        <v>28</v>
      </c>
      <c r="H4" s="4">
        <v>23</v>
      </c>
      <c r="I4" s="4">
        <v>25</v>
      </c>
      <c r="J4" s="4">
        <v>31</v>
      </c>
      <c r="K4" s="4">
        <v>39</v>
      </c>
      <c r="L4" s="4">
        <v>33</v>
      </c>
      <c r="M4" s="4">
        <v>48</v>
      </c>
      <c r="N4" s="4">
        <v>367</v>
      </c>
      <c r="P4" s="5" t="s">
        <v>9</v>
      </c>
      <c r="Q4" s="6">
        <v>167</v>
      </c>
      <c r="R4" s="6">
        <v>163</v>
      </c>
      <c r="S4" s="6">
        <v>165</v>
      </c>
      <c r="T4" s="6">
        <v>182</v>
      </c>
      <c r="U4" s="6">
        <v>136</v>
      </c>
      <c r="V4" s="6">
        <v>146</v>
      </c>
      <c r="W4" s="6">
        <v>156</v>
      </c>
      <c r="X4" s="6">
        <v>219</v>
      </c>
      <c r="Y4" s="6">
        <v>387</v>
      </c>
      <c r="Z4" s="6">
        <v>575</v>
      </c>
      <c r="AA4" s="6">
        <v>484</v>
      </c>
      <c r="AB4" s="6">
        <v>687</v>
      </c>
      <c r="AC4" s="6">
        <v>3467</v>
      </c>
      <c r="AE4" s="5" t="s">
        <v>10</v>
      </c>
      <c r="AF4" s="6">
        <v>52</v>
      </c>
      <c r="AG4" s="6">
        <v>46</v>
      </c>
      <c r="AH4" s="6">
        <v>38</v>
      </c>
      <c r="AI4" s="6">
        <v>45</v>
      </c>
      <c r="AJ4" s="6">
        <v>36</v>
      </c>
      <c r="AK4" s="6">
        <v>56</v>
      </c>
      <c r="AL4" s="6">
        <v>46</v>
      </c>
      <c r="AM4" s="6">
        <v>116</v>
      </c>
      <c r="AN4" s="6">
        <v>304</v>
      </c>
      <c r="AO4" s="6">
        <v>322</v>
      </c>
      <c r="AP4" s="6">
        <v>219</v>
      </c>
      <c r="AQ4" s="6">
        <v>239</v>
      </c>
      <c r="AR4" s="6">
        <v>1519</v>
      </c>
    </row>
    <row r="5" spans="1:44" x14ac:dyDescent="0.15">
      <c r="A5" s="3" t="s">
        <v>11</v>
      </c>
      <c r="B5" s="4">
        <v>1132</v>
      </c>
      <c r="C5" s="4">
        <v>869</v>
      </c>
      <c r="D5" s="4">
        <v>792</v>
      </c>
      <c r="E5" s="4">
        <v>826</v>
      </c>
      <c r="F5" s="4">
        <v>881</v>
      </c>
      <c r="G5" s="4">
        <v>1002</v>
      </c>
      <c r="H5" s="4">
        <v>1181</v>
      </c>
      <c r="I5" s="4">
        <v>2134</v>
      </c>
      <c r="J5" s="4">
        <v>4060</v>
      </c>
      <c r="K5" s="4">
        <v>6999</v>
      </c>
      <c r="L5" s="4">
        <v>6086</v>
      </c>
      <c r="M5" s="4">
        <v>7851</v>
      </c>
      <c r="N5" s="4">
        <v>33813</v>
      </c>
      <c r="P5" s="5" t="s">
        <v>12</v>
      </c>
      <c r="Q5" s="6">
        <v>186</v>
      </c>
      <c r="R5" s="6">
        <v>173</v>
      </c>
      <c r="S5" s="6">
        <v>177</v>
      </c>
      <c r="T5" s="6">
        <v>195</v>
      </c>
      <c r="U5" s="6">
        <v>139</v>
      </c>
      <c r="V5" s="6">
        <v>149</v>
      </c>
      <c r="W5" s="6">
        <v>160</v>
      </c>
      <c r="X5" s="6">
        <v>227</v>
      </c>
      <c r="Y5" s="6">
        <v>423</v>
      </c>
      <c r="Z5" s="6">
        <v>602</v>
      </c>
      <c r="AA5" s="6">
        <v>516</v>
      </c>
      <c r="AB5" s="6">
        <v>731</v>
      </c>
      <c r="AC5" s="6">
        <v>3678</v>
      </c>
      <c r="AE5" s="5" t="s">
        <v>13</v>
      </c>
      <c r="AF5" s="6">
        <v>66</v>
      </c>
      <c r="AG5" s="6">
        <v>52</v>
      </c>
      <c r="AH5" s="6">
        <v>46</v>
      </c>
      <c r="AI5" s="6">
        <v>42</v>
      </c>
      <c r="AJ5" s="6">
        <v>29</v>
      </c>
      <c r="AK5" s="6">
        <v>62</v>
      </c>
      <c r="AL5" s="6">
        <v>64</v>
      </c>
      <c r="AM5" s="6">
        <v>119</v>
      </c>
      <c r="AN5" s="6">
        <v>271</v>
      </c>
      <c r="AO5" s="6">
        <v>333</v>
      </c>
      <c r="AP5" s="6">
        <v>207</v>
      </c>
      <c r="AQ5" s="6">
        <v>263</v>
      </c>
      <c r="AR5" s="6">
        <v>1554</v>
      </c>
    </row>
    <row r="6" spans="1:44" x14ac:dyDescent="0.15">
      <c r="A6" s="3" t="s">
        <v>14</v>
      </c>
      <c r="B6" s="4">
        <v>20</v>
      </c>
      <c r="C6" s="4">
        <v>31</v>
      </c>
      <c r="D6" s="4">
        <v>28</v>
      </c>
      <c r="E6" s="4">
        <v>20</v>
      </c>
      <c r="F6" s="4">
        <v>10</v>
      </c>
      <c r="G6" s="4">
        <v>22</v>
      </c>
      <c r="H6" s="4">
        <v>21</v>
      </c>
      <c r="I6" s="4">
        <v>9</v>
      </c>
      <c r="J6" s="4">
        <v>34</v>
      </c>
      <c r="K6" s="4">
        <v>82</v>
      </c>
      <c r="L6" s="4">
        <v>27</v>
      </c>
      <c r="M6" s="4">
        <v>51</v>
      </c>
      <c r="N6" s="4">
        <v>355</v>
      </c>
      <c r="P6" s="5" t="s">
        <v>15</v>
      </c>
      <c r="Q6" s="6">
        <v>111</v>
      </c>
      <c r="R6" s="6">
        <v>99</v>
      </c>
      <c r="S6" s="6">
        <v>82</v>
      </c>
      <c r="T6" s="6">
        <v>80</v>
      </c>
      <c r="U6" s="6">
        <v>65</v>
      </c>
      <c r="V6" s="6">
        <v>119</v>
      </c>
      <c r="W6" s="6">
        <v>116</v>
      </c>
      <c r="X6" s="6">
        <v>240</v>
      </c>
      <c r="Y6" s="6">
        <v>590</v>
      </c>
      <c r="Z6" s="6">
        <v>683</v>
      </c>
      <c r="AA6" s="6">
        <v>441</v>
      </c>
      <c r="AB6" s="6">
        <v>510</v>
      </c>
      <c r="AC6" s="6">
        <v>3136</v>
      </c>
      <c r="AE6" s="5" t="s">
        <v>16</v>
      </c>
      <c r="AF6" s="6">
        <v>3</v>
      </c>
      <c r="AG6" s="6">
        <v>3</v>
      </c>
      <c r="AH6" s="6">
        <v>2</v>
      </c>
      <c r="AI6" s="6">
        <v>0</v>
      </c>
      <c r="AJ6" s="6">
        <v>1</v>
      </c>
      <c r="AK6" s="6">
        <v>2</v>
      </c>
      <c r="AL6" s="6">
        <v>4</v>
      </c>
      <c r="AM6" s="6">
        <v>2</v>
      </c>
      <c r="AN6" s="6">
        <v>2</v>
      </c>
      <c r="AO6" s="6">
        <v>3</v>
      </c>
      <c r="AP6" s="6">
        <v>3</v>
      </c>
      <c r="AQ6" s="6">
        <v>7</v>
      </c>
      <c r="AR6" s="6">
        <v>32</v>
      </c>
    </row>
    <row r="7" spans="1:44" x14ac:dyDescent="0.15">
      <c r="A7" s="3" t="s">
        <v>17</v>
      </c>
      <c r="B7" s="4">
        <v>3</v>
      </c>
      <c r="C7" s="4">
        <v>3</v>
      </c>
      <c r="D7" s="4">
        <v>11</v>
      </c>
      <c r="E7" s="4">
        <v>6</v>
      </c>
      <c r="F7" s="4">
        <v>10</v>
      </c>
      <c r="G7" s="4">
        <v>12</v>
      </c>
      <c r="H7" s="4">
        <v>21</v>
      </c>
      <c r="I7" s="4">
        <v>79</v>
      </c>
      <c r="J7" s="4">
        <v>123</v>
      </c>
      <c r="K7" s="4">
        <v>387</v>
      </c>
      <c r="L7" s="4">
        <v>374</v>
      </c>
      <c r="M7" s="4">
        <v>84</v>
      </c>
      <c r="N7" s="4">
        <v>1113</v>
      </c>
      <c r="P7" s="5" t="s">
        <v>18</v>
      </c>
      <c r="Q7" s="6">
        <v>1012</v>
      </c>
      <c r="R7" s="6">
        <v>775</v>
      </c>
      <c r="S7" s="6">
        <v>694</v>
      </c>
      <c r="T7" s="6">
        <v>694</v>
      </c>
      <c r="U7" s="6">
        <v>790</v>
      </c>
      <c r="V7" s="6">
        <v>917</v>
      </c>
      <c r="W7" s="6">
        <v>1089</v>
      </c>
      <c r="X7" s="6">
        <v>2026</v>
      </c>
      <c r="Y7" s="6">
        <v>3844</v>
      </c>
      <c r="Z7" s="6">
        <v>6893</v>
      </c>
      <c r="AA7" s="6">
        <v>6011</v>
      </c>
      <c r="AB7" s="6">
        <v>7341</v>
      </c>
      <c r="AC7" s="6">
        <v>32086</v>
      </c>
      <c r="AE7" s="5" t="s">
        <v>19</v>
      </c>
      <c r="AF7" s="6">
        <v>73</v>
      </c>
      <c r="AG7" s="6">
        <v>58</v>
      </c>
      <c r="AH7" s="6">
        <v>50</v>
      </c>
      <c r="AI7" s="6">
        <v>40</v>
      </c>
      <c r="AJ7" s="6">
        <v>37</v>
      </c>
      <c r="AK7" s="6">
        <v>49</v>
      </c>
      <c r="AL7" s="6">
        <v>57</v>
      </c>
      <c r="AM7" s="6">
        <v>68</v>
      </c>
      <c r="AN7" s="6">
        <v>163</v>
      </c>
      <c r="AO7" s="6">
        <v>337</v>
      </c>
      <c r="AP7" s="6">
        <v>376</v>
      </c>
      <c r="AQ7" s="6">
        <v>507</v>
      </c>
      <c r="AR7" s="6">
        <v>1815</v>
      </c>
    </row>
    <row r="8" spans="1:44" x14ac:dyDescent="0.15">
      <c r="A8" s="3" t="s">
        <v>20</v>
      </c>
      <c r="B8" s="4">
        <f>B9-SUM(B3:B7)</f>
        <v>1</v>
      </c>
      <c r="C8" s="4">
        <f t="shared" ref="C8:N8" si="0">C9-SUM(C3:C7)</f>
        <v>3</v>
      </c>
      <c r="D8" s="4">
        <f t="shared" si="0"/>
        <v>2</v>
      </c>
      <c r="E8" s="4">
        <f t="shared" si="0"/>
        <v>1</v>
      </c>
      <c r="F8" s="4">
        <f t="shared" si="0"/>
        <v>2</v>
      </c>
      <c r="G8" s="4">
        <f t="shared" si="0"/>
        <v>3</v>
      </c>
      <c r="H8" s="4">
        <f t="shared" si="0"/>
        <v>6</v>
      </c>
      <c r="I8" s="4">
        <f t="shared" si="0"/>
        <v>0</v>
      </c>
      <c r="J8" s="4">
        <f t="shared" si="0"/>
        <v>12</v>
      </c>
      <c r="K8" s="4">
        <f t="shared" si="0"/>
        <v>30</v>
      </c>
      <c r="L8" s="4">
        <f t="shared" si="0"/>
        <v>68</v>
      </c>
      <c r="M8" s="4">
        <f t="shared" si="0"/>
        <v>627</v>
      </c>
      <c r="N8" s="4">
        <f t="shared" si="0"/>
        <v>755</v>
      </c>
      <c r="P8" s="5" t="s">
        <v>21</v>
      </c>
      <c r="Q8" s="6">
        <v>1123</v>
      </c>
      <c r="R8" s="6">
        <v>874</v>
      </c>
      <c r="S8" s="6">
        <v>776</v>
      </c>
      <c r="T8" s="6">
        <v>774</v>
      </c>
      <c r="U8" s="6">
        <v>855</v>
      </c>
      <c r="V8" s="6">
        <v>1036</v>
      </c>
      <c r="W8" s="6">
        <v>1205</v>
      </c>
      <c r="X8" s="6">
        <v>2266</v>
      </c>
      <c r="Y8" s="6">
        <v>4434</v>
      </c>
      <c r="Z8" s="6">
        <v>7576</v>
      </c>
      <c r="AA8" s="6">
        <v>6452</v>
      </c>
      <c r="AB8" s="6">
        <v>7851</v>
      </c>
      <c r="AC8" s="6">
        <v>35222</v>
      </c>
      <c r="AE8" s="5" t="s">
        <v>22</v>
      </c>
      <c r="AF8" s="6">
        <v>467</v>
      </c>
      <c r="AG8" s="6">
        <v>344</v>
      </c>
      <c r="AH8" s="6">
        <v>293</v>
      </c>
      <c r="AI8" s="6">
        <v>294</v>
      </c>
      <c r="AJ8" s="6">
        <v>337</v>
      </c>
      <c r="AK8" s="6">
        <v>358</v>
      </c>
      <c r="AL8" s="6">
        <v>385</v>
      </c>
      <c r="AM8" s="6">
        <v>819</v>
      </c>
      <c r="AN8" s="6">
        <v>1775</v>
      </c>
      <c r="AO8" s="6">
        <v>3155</v>
      </c>
      <c r="AP8" s="6">
        <v>2634</v>
      </c>
      <c r="AQ8" s="6">
        <v>3332</v>
      </c>
      <c r="AR8" s="6">
        <v>14193</v>
      </c>
    </row>
    <row r="9" spans="1:44" x14ac:dyDescent="0.15">
      <c r="A9" s="3" t="s">
        <v>2</v>
      </c>
      <c r="B9" s="4">
        <v>1310</v>
      </c>
      <c r="C9" s="4">
        <v>1050</v>
      </c>
      <c r="D9" s="4">
        <v>959</v>
      </c>
      <c r="E9" s="4">
        <v>970</v>
      </c>
      <c r="F9" s="4">
        <v>996</v>
      </c>
      <c r="G9" s="4">
        <v>1189</v>
      </c>
      <c r="H9" s="4">
        <v>1372</v>
      </c>
      <c r="I9" s="4">
        <v>2495</v>
      </c>
      <c r="J9" s="4">
        <v>4886</v>
      </c>
      <c r="K9" s="4">
        <v>8248</v>
      </c>
      <c r="L9" s="4">
        <v>7063</v>
      </c>
      <c r="M9" s="4">
        <v>9216</v>
      </c>
      <c r="N9" s="4">
        <v>39754</v>
      </c>
      <c r="AE9" s="5" t="s">
        <v>23</v>
      </c>
      <c r="AF9" s="6">
        <v>579</v>
      </c>
      <c r="AG9" s="6">
        <v>475</v>
      </c>
      <c r="AH9" s="6">
        <v>459</v>
      </c>
      <c r="AI9" s="6">
        <v>490</v>
      </c>
      <c r="AJ9" s="6">
        <v>490</v>
      </c>
      <c r="AK9" s="6">
        <v>590</v>
      </c>
      <c r="AL9" s="6">
        <v>748</v>
      </c>
      <c r="AM9" s="6">
        <v>1266</v>
      </c>
      <c r="AN9" s="6">
        <v>2166</v>
      </c>
      <c r="AO9" s="6">
        <v>3663</v>
      </c>
      <c r="AP9" s="6">
        <v>3230</v>
      </c>
      <c r="AQ9" s="6">
        <v>3888</v>
      </c>
      <c r="AR9" s="6">
        <v>18044</v>
      </c>
    </row>
    <row r="10" spans="1:44" x14ac:dyDescent="0.15">
      <c r="A10" s="7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AE10" s="5" t="s">
        <v>24</v>
      </c>
      <c r="AF10" s="6">
        <v>60</v>
      </c>
      <c r="AG10" s="6">
        <v>61</v>
      </c>
      <c r="AH10" s="6">
        <v>56</v>
      </c>
      <c r="AI10" s="6">
        <v>51</v>
      </c>
      <c r="AJ10" s="6">
        <v>62</v>
      </c>
      <c r="AK10" s="6">
        <v>62</v>
      </c>
      <c r="AL10" s="6">
        <v>52</v>
      </c>
      <c r="AM10" s="6">
        <v>54</v>
      </c>
      <c r="AN10" s="6">
        <v>88</v>
      </c>
      <c r="AO10" s="6">
        <v>110</v>
      </c>
      <c r="AP10" s="6">
        <v>123</v>
      </c>
      <c r="AQ10" s="6">
        <v>131</v>
      </c>
      <c r="AR10" s="6">
        <v>910</v>
      </c>
    </row>
    <row r="11" spans="1:44" x14ac:dyDescent="0.15">
      <c r="A11" s="1" t="s">
        <v>25</v>
      </c>
      <c r="AE11" s="5" t="s">
        <v>26</v>
      </c>
      <c r="AF11" s="6">
        <v>82</v>
      </c>
      <c r="AG11" s="6">
        <v>66</v>
      </c>
      <c r="AH11" s="6">
        <v>58</v>
      </c>
      <c r="AI11" s="6">
        <v>46</v>
      </c>
      <c r="AJ11" s="6">
        <v>39</v>
      </c>
      <c r="AK11" s="6">
        <v>51</v>
      </c>
      <c r="AL11" s="6">
        <v>62</v>
      </c>
      <c r="AM11" s="6">
        <v>79</v>
      </c>
      <c r="AN11" s="6">
        <v>201</v>
      </c>
      <c r="AO11" s="6">
        <v>372</v>
      </c>
      <c r="AP11" s="6">
        <v>414</v>
      </c>
      <c r="AQ11" s="6">
        <v>545</v>
      </c>
      <c r="AR11" s="6">
        <v>2015</v>
      </c>
    </row>
    <row r="12" spans="1:44" x14ac:dyDescent="0.15">
      <c r="A12" s="2" t="s">
        <v>1</v>
      </c>
      <c r="B12" s="2">
        <v>2014</v>
      </c>
      <c r="C12" s="2">
        <v>2015</v>
      </c>
      <c r="D12" s="2">
        <v>2016</v>
      </c>
      <c r="E12" s="2">
        <v>2017</v>
      </c>
      <c r="F12" s="2">
        <v>2018</v>
      </c>
      <c r="G12" s="2">
        <v>2019</v>
      </c>
      <c r="H12" s="2">
        <v>2020</v>
      </c>
      <c r="I12" s="2">
        <v>2021</v>
      </c>
      <c r="J12" s="2">
        <v>2022</v>
      </c>
      <c r="K12" s="2">
        <v>2023</v>
      </c>
      <c r="L12" s="2">
        <v>2024</v>
      </c>
      <c r="M12" s="2">
        <v>2025</v>
      </c>
      <c r="N12" s="2" t="s">
        <v>2</v>
      </c>
      <c r="AE12" s="5" t="s">
        <v>27</v>
      </c>
      <c r="AF12" s="6">
        <v>519</v>
      </c>
      <c r="AG12" s="6">
        <v>390</v>
      </c>
      <c r="AH12" s="6">
        <v>331</v>
      </c>
      <c r="AI12" s="6">
        <v>339</v>
      </c>
      <c r="AJ12" s="6">
        <v>373</v>
      </c>
      <c r="AK12" s="6">
        <v>414</v>
      </c>
      <c r="AL12" s="6">
        <v>431</v>
      </c>
      <c r="AM12" s="6">
        <v>935</v>
      </c>
      <c r="AN12" s="6">
        <v>2079</v>
      </c>
      <c r="AO12" s="6">
        <v>3477</v>
      </c>
      <c r="AP12" s="6">
        <v>2853</v>
      </c>
      <c r="AQ12" s="6">
        <v>3571</v>
      </c>
      <c r="AR12" s="6">
        <v>15712</v>
      </c>
    </row>
    <row r="13" spans="1:44" x14ac:dyDescent="0.15">
      <c r="A13" s="3" t="s">
        <v>5</v>
      </c>
      <c r="B13" s="9">
        <f>B3/B$9</f>
        <v>9.9236641221374045E-2</v>
      </c>
      <c r="C13" s="9">
        <f t="shared" ref="C13:N17" si="1">C3/C$9</f>
        <v>0.10380952380952381</v>
      </c>
      <c r="D13" s="9">
        <f t="shared" si="1"/>
        <v>9.8018769551616272E-2</v>
      </c>
      <c r="E13" s="9">
        <f t="shared" si="1"/>
        <v>9.5876288659793821E-2</v>
      </c>
      <c r="F13" s="9">
        <f t="shared" si="1"/>
        <v>6.8273092369477914E-2</v>
      </c>
      <c r="G13" s="9">
        <f t="shared" si="1"/>
        <v>0.10260723296888141</v>
      </c>
      <c r="H13" s="9">
        <f t="shared" si="1"/>
        <v>8.7463556851311949E-2</v>
      </c>
      <c r="I13" s="9">
        <f t="shared" si="1"/>
        <v>9.939879759519038E-2</v>
      </c>
      <c r="J13" s="9">
        <f t="shared" si="1"/>
        <v>0.12812116250511665</v>
      </c>
      <c r="K13" s="9">
        <f t="shared" si="1"/>
        <v>8.6202715809893304E-2</v>
      </c>
      <c r="L13" s="9">
        <f t="shared" si="1"/>
        <v>6.7251875973382419E-2</v>
      </c>
      <c r="M13" s="9">
        <f t="shared" si="1"/>
        <v>6.0221354166666664E-2</v>
      </c>
      <c r="N13" s="9">
        <f t="shared" si="1"/>
        <v>8.4293404437289332E-2</v>
      </c>
      <c r="AE13" s="5" t="s">
        <v>28</v>
      </c>
      <c r="AF13" s="6">
        <v>645</v>
      </c>
      <c r="AG13" s="6">
        <v>527</v>
      </c>
      <c r="AH13" s="6">
        <v>505</v>
      </c>
      <c r="AI13" s="6">
        <v>532</v>
      </c>
      <c r="AJ13" s="6">
        <v>519</v>
      </c>
      <c r="AK13" s="6">
        <v>652</v>
      </c>
      <c r="AL13" s="6">
        <v>812</v>
      </c>
      <c r="AM13" s="6">
        <v>1385</v>
      </c>
      <c r="AN13" s="6">
        <v>2437</v>
      </c>
      <c r="AO13" s="6">
        <v>3996</v>
      </c>
      <c r="AP13" s="6">
        <v>3437</v>
      </c>
      <c r="AQ13" s="6">
        <v>4151</v>
      </c>
      <c r="AR13" s="6">
        <v>19598</v>
      </c>
    </row>
    <row r="14" spans="1:44" x14ac:dyDescent="0.15">
      <c r="A14" s="3" t="s">
        <v>8</v>
      </c>
      <c r="B14" s="9">
        <f>B4/B$9</f>
        <v>1.8320610687022901E-2</v>
      </c>
      <c r="C14" s="9">
        <f t="shared" si="1"/>
        <v>3.3333333333333333E-2</v>
      </c>
      <c r="D14" s="9">
        <f t="shared" si="1"/>
        <v>3.3368091762252347E-2</v>
      </c>
      <c r="E14" s="9">
        <f t="shared" si="1"/>
        <v>2.4742268041237112E-2</v>
      </c>
      <c r="F14" s="9">
        <f t="shared" si="1"/>
        <v>2.5100401606425703E-2</v>
      </c>
      <c r="G14" s="9">
        <f t="shared" si="1"/>
        <v>2.3549201009251473E-2</v>
      </c>
      <c r="H14" s="9">
        <f t="shared" si="1"/>
        <v>1.6763848396501458E-2</v>
      </c>
      <c r="I14" s="9">
        <f t="shared" si="1"/>
        <v>1.002004008016032E-2</v>
      </c>
      <c r="J14" s="9">
        <f t="shared" si="1"/>
        <v>6.3446582071223908E-3</v>
      </c>
      <c r="K14" s="9">
        <f t="shared" si="1"/>
        <v>4.728419010669253E-3</v>
      </c>
      <c r="L14" s="9">
        <f t="shared" si="1"/>
        <v>4.6722355939402523E-3</v>
      </c>
      <c r="M14" s="9">
        <f t="shared" si="1"/>
        <v>5.208333333333333E-3</v>
      </c>
      <c r="N14" s="9">
        <f t="shared" si="1"/>
        <v>9.231775418825779E-3</v>
      </c>
      <c r="AE14" s="5" t="s">
        <v>29</v>
      </c>
      <c r="AF14" s="6">
        <v>63</v>
      </c>
      <c r="AG14" s="6">
        <v>64</v>
      </c>
      <c r="AH14" s="6">
        <v>58</v>
      </c>
      <c r="AI14" s="6">
        <v>51</v>
      </c>
      <c r="AJ14" s="6">
        <v>63</v>
      </c>
      <c r="AK14" s="6">
        <v>64</v>
      </c>
      <c r="AL14" s="6">
        <v>56</v>
      </c>
      <c r="AM14" s="6">
        <v>56</v>
      </c>
      <c r="AN14" s="6">
        <v>90</v>
      </c>
      <c r="AO14" s="6">
        <v>113</v>
      </c>
      <c r="AP14" s="6">
        <v>126</v>
      </c>
      <c r="AQ14" s="6">
        <v>138</v>
      </c>
      <c r="AR14" s="6">
        <v>942</v>
      </c>
    </row>
    <row r="15" spans="1:44" x14ac:dyDescent="0.15">
      <c r="A15" s="3" t="s">
        <v>11</v>
      </c>
      <c r="B15" s="9">
        <f>B5/B$9</f>
        <v>0.8641221374045801</v>
      </c>
      <c r="C15" s="9">
        <f t="shared" si="1"/>
        <v>0.82761904761904759</v>
      </c>
      <c r="D15" s="9">
        <f t="shared" si="1"/>
        <v>0.82586027111574556</v>
      </c>
      <c r="E15" s="9">
        <f t="shared" si="1"/>
        <v>0.85154639175257729</v>
      </c>
      <c r="F15" s="9">
        <f t="shared" si="1"/>
        <v>0.88453815261044177</v>
      </c>
      <c r="G15" s="9">
        <f t="shared" si="1"/>
        <v>0.84272497897392762</v>
      </c>
      <c r="H15" s="9">
        <f t="shared" si="1"/>
        <v>0.86078717201166177</v>
      </c>
      <c r="I15" s="9">
        <f t="shared" si="1"/>
        <v>0.85531062124248503</v>
      </c>
      <c r="J15" s="9">
        <f t="shared" si="1"/>
        <v>0.83094555873925502</v>
      </c>
      <c r="K15" s="9">
        <f t="shared" si="1"/>
        <v>0.84856935014548984</v>
      </c>
      <c r="L15" s="9">
        <f t="shared" si="1"/>
        <v>0.86167350984001134</v>
      </c>
      <c r="M15" s="9">
        <f t="shared" si="1"/>
        <v>0.85188802083333337</v>
      </c>
      <c r="N15" s="9">
        <f t="shared" si="1"/>
        <v>0.8505559189012426</v>
      </c>
    </row>
    <row r="16" spans="1:44" x14ac:dyDescent="0.15">
      <c r="A16" s="3" t="s">
        <v>14</v>
      </c>
      <c r="B16" s="9">
        <f>B6/B$9</f>
        <v>1.5267175572519083E-2</v>
      </c>
      <c r="C16" s="9">
        <f t="shared" si="1"/>
        <v>2.9523809523809525E-2</v>
      </c>
      <c r="D16" s="9">
        <f t="shared" si="1"/>
        <v>2.9197080291970802E-2</v>
      </c>
      <c r="E16" s="9">
        <f t="shared" si="1"/>
        <v>2.0618556701030927E-2</v>
      </c>
      <c r="F16" s="9">
        <f t="shared" si="1"/>
        <v>1.0040160642570281E-2</v>
      </c>
      <c r="G16" s="9">
        <f t="shared" si="1"/>
        <v>1.8502943650126155E-2</v>
      </c>
      <c r="H16" s="9">
        <f t="shared" si="1"/>
        <v>1.5306122448979591E-2</v>
      </c>
      <c r="I16" s="9">
        <f t="shared" si="1"/>
        <v>3.6072144288577155E-3</v>
      </c>
      <c r="J16" s="9">
        <f t="shared" si="1"/>
        <v>6.9586573884568154E-3</v>
      </c>
      <c r="K16" s="9">
        <f t="shared" si="1"/>
        <v>9.9418040737148401E-3</v>
      </c>
      <c r="L16" s="9">
        <f t="shared" si="1"/>
        <v>3.8227382132238427E-3</v>
      </c>
      <c r="M16" s="9">
        <f t="shared" si="1"/>
        <v>5.533854166666667E-3</v>
      </c>
      <c r="N16" s="9">
        <f t="shared" si="1"/>
        <v>8.9299190018614482E-3</v>
      </c>
      <c r="AE16" s="1" t="s">
        <v>30</v>
      </c>
    </row>
    <row r="17" spans="1:58" x14ac:dyDescent="0.15">
      <c r="A17" s="3" t="s">
        <v>17</v>
      </c>
      <c r="B17" s="9">
        <f>B7/B$9</f>
        <v>2.2900763358778627E-3</v>
      </c>
      <c r="C17" s="9">
        <f t="shared" si="1"/>
        <v>2.8571428571428571E-3</v>
      </c>
      <c r="D17" s="9">
        <f t="shared" si="1"/>
        <v>1.1470281543274244E-2</v>
      </c>
      <c r="E17" s="9">
        <f t="shared" si="1"/>
        <v>6.1855670103092781E-3</v>
      </c>
      <c r="F17" s="9">
        <f t="shared" si="1"/>
        <v>1.0040160642570281E-2</v>
      </c>
      <c r="G17" s="9">
        <f t="shared" si="1"/>
        <v>1.0092514718250631E-2</v>
      </c>
      <c r="H17" s="9">
        <f t="shared" si="1"/>
        <v>1.5306122448979591E-2</v>
      </c>
      <c r="I17" s="9">
        <f t="shared" si="1"/>
        <v>3.1663326653306616E-2</v>
      </c>
      <c r="J17" s="9">
        <f t="shared" si="1"/>
        <v>2.5173966434711419E-2</v>
      </c>
      <c r="K17" s="9">
        <f t="shared" si="1"/>
        <v>4.692046556741028E-2</v>
      </c>
      <c r="L17" s="9">
        <f t="shared" si="1"/>
        <v>5.2952003397989521E-2</v>
      </c>
      <c r="M17" s="9">
        <f t="shared" si="1"/>
        <v>9.1145833333333339E-3</v>
      </c>
      <c r="N17" s="9">
        <f t="shared" si="1"/>
        <v>2.7997182673441666E-2</v>
      </c>
      <c r="AE17" s="2" t="s">
        <v>4</v>
      </c>
      <c r="AF17" s="2">
        <v>2014</v>
      </c>
      <c r="AG17" s="2">
        <v>2015</v>
      </c>
      <c r="AH17" s="2">
        <v>2016</v>
      </c>
      <c r="AI17" s="2">
        <v>2017</v>
      </c>
      <c r="AJ17" s="2">
        <v>2018</v>
      </c>
      <c r="AK17" s="2">
        <v>2019</v>
      </c>
      <c r="AL17" s="2">
        <v>2020</v>
      </c>
      <c r="AM17" s="2">
        <v>2021</v>
      </c>
      <c r="AN17" s="2">
        <v>2022</v>
      </c>
      <c r="AO17" s="2">
        <v>2023</v>
      </c>
      <c r="AP17" s="2">
        <v>2024</v>
      </c>
      <c r="AQ17" s="2">
        <v>2025</v>
      </c>
      <c r="AU17" s="2">
        <v>2014</v>
      </c>
      <c r="AV17" s="2">
        <v>2015</v>
      </c>
      <c r="AW17" s="2">
        <v>2016</v>
      </c>
      <c r="AX17" s="2">
        <v>2017</v>
      </c>
      <c r="AY17" s="2">
        <v>2018</v>
      </c>
      <c r="AZ17" s="2">
        <v>2019</v>
      </c>
      <c r="BA17" s="2">
        <v>2020</v>
      </c>
      <c r="BB17" s="2">
        <v>2021</v>
      </c>
      <c r="BC17" s="2">
        <v>2022</v>
      </c>
      <c r="BD17" s="2">
        <v>2023</v>
      </c>
      <c r="BE17" s="2">
        <v>2024</v>
      </c>
      <c r="BF17" s="2">
        <v>2025</v>
      </c>
    </row>
    <row r="18" spans="1:58" x14ac:dyDescent="0.15">
      <c r="A18" s="3" t="s">
        <v>2</v>
      </c>
      <c r="B18" s="9">
        <f t="shared" ref="B18:N18" si="2">B9/B$9</f>
        <v>1</v>
      </c>
      <c r="C18" s="9">
        <f t="shared" si="2"/>
        <v>1</v>
      </c>
      <c r="D18" s="9">
        <f t="shared" si="2"/>
        <v>1</v>
      </c>
      <c r="E18" s="9">
        <f t="shared" si="2"/>
        <v>1</v>
      </c>
      <c r="F18" s="9">
        <f t="shared" si="2"/>
        <v>1</v>
      </c>
      <c r="G18" s="9">
        <f t="shared" si="2"/>
        <v>1</v>
      </c>
      <c r="H18" s="9">
        <f t="shared" si="2"/>
        <v>1</v>
      </c>
      <c r="I18" s="9">
        <f t="shared" si="2"/>
        <v>1</v>
      </c>
      <c r="J18" s="9">
        <f t="shared" si="2"/>
        <v>1</v>
      </c>
      <c r="K18" s="9">
        <f t="shared" si="2"/>
        <v>1</v>
      </c>
      <c r="L18" s="9">
        <f t="shared" si="2"/>
        <v>1</v>
      </c>
      <c r="M18" s="9">
        <f t="shared" si="2"/>
        <v>1</v>
      </c>
      <c r="N18" s="9">
        <f t="shared" si="2"/>
        <v>1</v>
      </c>
      <c r="AE18" s="5" t="s">
        <v>7</v>
      </c>
      <c r="AF18" s="6">
        <f t="shared" ref="AF18:AQ21" si="3">B$22*AU18</f>
        <v>275.47052440506178</v>
      </c>
      <c r="AG18" s="6">
        <f t="shared" si="3"/>
        <v>276.05623618231937</v>
      </c>
      <c r="AH18" s="6">
        <f t="shared" si="3"/>
        <v>276.30382094063958</v>
      </c>
      <c r="AI18" s="6">
        <f t="shared" si="3"/>
        <v>276.24573541178916</v>
      </c>
      <c r="AJ18" s="6">
        <f t="shared" si="3"/>
        <v>276.04878315502481</v>
      </c>
      <c r="AK18" s="6">
        <f t="shared" si="3"/>
        <v>275.49139288148655</v>
      </c>
      <c r="AL18" s="6">
        <f t="shared" si="3"/>
        <v>274.03867765166115</v>
      </c>
      <c r="AM18" s="6">
        <f t="shared" si="3"/>
        <v>271.82560938565035</v>
      </c>
      <c r="AN18" s="6">
        <f t="shared" si="3"/>
        <v>269.26801892244316</v>
      </c>
      <c r="AO18" s="6">
        <f t="shared" si="3"/>
        <v>266.51256260557744</v>
      </c>
      <c r="AP18" s="6">
        <f t="shared" si="3"/>
        <v>263.62901038733963</v>
      </c>
      <c r="AQ18" s="6">
        <f t="shared" si="3"/>
        <v>260.58605955309247</v>
      </c>
      <c r="AU18" s="10">
        <v>0.35818475080537732</v>
      </c>
      <c r="AV18" s="10">
        <v>0.35288331532073763</v>
      </c>
      <c r="AW18" s="10">
        <v>0.3475789917473498</v>
      </c>
      <c r="AX18" s="10">
        <v>0.34211441651521785</v>
      </c>
      <c r="AY18" s="10">
        <v>0.33616368024069493</v>
      </c>
      <c r="AZ18" s="10">
        <v>0.3300922746484391</v>
      </c>
      <c r="BA18" s="10">
        <v>0.32517471445309393</v>
      </c>
      <c r="BB18" s="10">
        <v>0.32093833929928678</v>
      </c>
      <c r="BC18" s="10">
        <v>0.31610780985318848</v>
      </c>
      <c r="BD18" s="10">
        <v>0.31077614360349137</v>
      </c>
      <c r="BE18" s="10">
        <v>0.30515953153670428</v>
      </c>
      <c r="BF18" s="10">
        <v>0.29935311423214972</v>
      </c>
    </row>
    <row r="19" spans="1:58" x14ac:dyDescent="0.15">
      <c r="A19" s="7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AE19" s="5" t="s">
        <v>10</v>
      </c>
      <c r="AF19" s="6">
        <f t="shared" si="3"/>
        <v>167.28954472038646</v>
      </c>
      <c r="AG19" s="6">
        <f t="shared" si="3"/>
        <v>169.70182519337345</v>
      </c>
      <c r="AH19" s="6">
        <f t="shared" si="3"/>
        <v>171.85421139199244</v>
      </c>
      <c r="AI19" s="6">
        <f t="shared" si="3"/>
        <v>173.95433023145543</v>
      </c>
      <c r="AJ19" s="6">
        <f t="shared" si="3"/>
        <v>176.46205753785972</v>
      </c>
      <c r="AK19" s="6">
        <f t="shared" si="3"/>
        <v>178.76090774382837</v>
      </c>
      <c r="AL19" s="6">
        <f t="shared" si="3"/>
        <v>179.33036711317905</v>
      </c>
      <c r="AM19" s="6">
        <f t="shared" si="3"/>
        <v>178.53005623388555</v>
      </c>
      <c r="AN19" s="6">
        <f t="shared" si="3"/>
        <v>177.51476158017962</v>
      </c>
      <c r="AO19" s="6">
        <f t="shared" si="3"/>
        <v>176.6758872951427</v>
      </c>
      <c r="AP19" s="6">
        <f t="shared" si="3"/>
        <v>176.22163730255167</v>
      </c>
      <c r="AQ19" s="6">
        <f t="shared" si="3"/>
        <v>176.05334313783601</v>
      </c>
      <c r="AU19" s="10">
        <v>0.21752078200536365</v>
      </c>
      <c r="AV19" s="10">
        <v>0.2169302295734675</v>
      </c>
      <c r="AW19" s="10">
        <v>0.21618562247822667</v>
      </c>
      <c r="AX19" s="10">
        <v>0.21543240875272579</v>
      </c>
      <c r="AY19" s="10">
        <v>0.214890042284515</v>
      </c>
      <c r="AZ19" s="10">
        <v>0.21419033835574136</v>
      </c>
      <c r="BA19" s="10">
        <v>0.21279368817025462</v>
      </c>
      <c r="BB19" s="10">
        <v>0.21078639312980132</v>
      </c>
      <c r="BC19" s="10">
        <v>0.20839386245822186</v>
      </c>
      <c r="BD19" s="10">
        <v>0.20601899732046802</v>
      </c>
      <c r="BE19" s="10">
        <v>0.20398252911114434</v>
      </c>
      <c r="BF19" s="10">
        <v>0.20224457374917559</v>
      </c>
    </row>
    <row r="20" spans="1:58" x14ac:dyDescent="0.15">
      <c r="A20" s="1" t="s">
        <v>30</v>
      </c>
      <c r="P20" s="1" t="s">
        <v>30</v>
      </c>
      <c r="AE20" s="5" t="s">
        <v>13</v>
      </c>
      <c r="AF20" s="6">
        <f t="shared" si="3"/>
        <v>276.9290578045817</v>
      </c>
      <c r="AG20" s="6">
        <f t="shared" si="3"/>
        <v>284.81339900127438</v>
      </c>
      <c r="AH20" s="6">
        <f t="shared" si="3"/>
        <v>292.72259965029787</v>
      </c>
      <c r="AI20" s="6">
        <f t="shared" si="3"/>
        <v>300.78379397208317</v>
      </c>
      <c r="AJ20" s="6">
        <f t="shared" si="3"/>
        <v>309.52090574341355</v>
      </c>
      <c r="AK20" s="6">
        <f t="shared" si="3"/>
        <v>318.47319362534455</v>
      </c>
      <c r="AL20" s="6">
        <f t="shared" si="3"/>
        <v>326.01113734700539</v>
      </c>
      <c r="AM20" s="6">
        <f t="shared" si="3"/>
        <v>332.39116913137542</v>
      </c>
      <c r="AN20" s="6">
        <f t="shared" si="3"/>
        <v>338.992435616276</v>
      </c>
      <c r="AO20" s="6">
        <f t="shared" si="3"/>
        <v>345.89417931126457</v>
      </c>
      <c r="AP20" s="6">
        <f t="shared" si="3"/>
        <v>352.9074299113891</v>
      </c>
      <c r="AQ20" s="6">
        <f t="shared" si="3"/>
        <v>359.89471512610027</v>
      </c>
      <c r="AU20" s="10">
        <v>0.36008123110350232</v>
      </c>
      <c r="AV20" s="10">
        <v>0.3640776164931821</v>
      </c>
      <c r="AW20" s="10">
        <v>0.36823314893633752</v>
      </c>
      <c r="AX20" s="10">
        <v>0.37250338731419647</v>
      </c>
      <c r="AY20" s="10">
        <v>0.37692499708541161</v>
      </c>
      <c r="AZ20" s="10">
        <v>0.38159283235235825</v>
      </c>
      <c r="BA20" s="10">
        <v>0.38684531469712502</v>
      </c>
      <c r="BB20" s="10">
        <v>0.39244672369123529</v>
      </c>
      <c r="BC20" s="10">
        <v>0.39796094912527874</v>
      </c>
      <c r="BD20" s="10">
        <v>0.40334180907012801</v>
      </c>
      <c r="BE20" s="10">
        <v>0.40850233375057116</v>
      </c>
      <c r="BF20" s="10">
        <v>0.41343579143664871</v>
      </c>
    </row>
    <row r="21" spans="1:58" ht="15" x14ac:dyDescent="0.2">
      <c r="A21" s="2" t="s">
        <v>1</v>
      </c>
      <c r="B21" s="2">
        <v>2014</v>
      </c>
      <c r="C21" s="2">
        <v>2015</v>
      </c>
      <c r="D21" s="2">
        <v>2016</v>
      </c>
      <c r="E21" s="2">
        <v>2017</v>
      </c>
      <c r="F21" s="2">
        <v>2018</v>
      </c>
      <c r="G21" s="2">
        <v>2019</v>
      </c>
      <c r="H21" s="2">
        <v>2020</v>
      </c>
      <c r="I21" s="2">
        <v>2021</v>
      </c>
      <c r="J21" s="2">
        <v>2022</v>
      </c>
      <c r="K21" s="2">
        <v>2023</v>
      </c>
      <c r="L21" s="2">
        <v>2024</v>
      </c>
      <c r="M21" s="2">
        <v>2025</v>
      </c>
      <c r="N21" s="12" t="s">
        <v>31</v>
      </c>
      <c r="P21" s="2" t="s">
        <v>3</v>
      </c>
      <c r="Q21" s="2">
        <v>2014</v>
      </c>
      <c r="R21" s="2">
        <v>2015</v>
      </c>
      <c r="S21" s="2">
        <v>2016</v>
      </c>
      <c r="T21" s="2">
        <v>2017</v>
      </c>
      <c r="U21" s="2">
        <v>2018</v>
      </c>
      <c r="V21" s="2">
        <v>2019</v>
      </c>
      <c r="W21" s="2">
        <v>2020</v>
      </c>
      <c r="X21" s="2">
        <v>2021</v>
      </c>
      <c r="Y21" s="2">
        <v>2022</v>
      </c>
      <c r="Z21" s="2">
        <v>2023</v>
      </c>
      <c r="AA21" s="2">
        <v>2024</v>
      </c>
      <c r="AB21" s="2">
        <v>2025</v>
      </c>
      <c r="AC21" s="12" t="s">
        <v>31</v>
      </c>
      <c r="AE21" s="5" t="s">
        <v>16</v>
      </c>
      <c r="AF21" s="6">
        <f t="shared" si="3"/>
        <v>49.384720534629409</v>
      </c>
      <c r="AG21" s="6">
        <f t="shared" si="3"/>
        <v>51.716123640458768</v>
      </c>
      <c r="AH21" s="6">
        <f t="shared" si="3"/>
        <v>54.057576312124006</v>
      </c>
      <c r="AI21" s="6">
        <f t="shared" si="3"/>
        <v>56.482070133064639</v>
      </c>
      <c r="AJ21" s="6">
        <f t="shared" si="3"/>
        <v>59.141983448418934</v>
      </c>
      <c r="AK21" s="6">
        <f t="shared" si="3"/>
        <v>61.863540512106219</v>
      </c>
      <c r="AL21" s="6">
        <f t="shared" si="3"/>
        <v>63.362704931393196</v>
      </c>
      <c r="AM21" s="6">
        <f t="shared" si="3"/>
        <v>64.22461147497259</v>
      </c>
      <c r="AN21" s="6">
        <f t="shared" si="3"/>
        <v>66.048150875737193</v>
      </c>
      <c r="AO21" s="6">
        <f t="shared" si="3"/>
        <v>68.488223927925787</v>
      </c>
      <c r="AP21" s="6">
        <f t="shared" si="3"/>
        <v>71.147464066621239</v>
      </c>
      <c r="AQ21" s="6">
        <f t="shared" si="3"/>
        <v>73.963121610408095</v>
      </c>
      <c r="AU21" s="10">
        <v>6.42132360857567E-2</v>
      </c>
      <c r="AV21" s="10">
        <v>6.6108838612612769E-2</v>
      </c>
      <c r="AW21" s="10">
        <v>6.8002236838086011E-2</v>
      </c>
      <c r="AX21" s="10">
        <v>6.9949787417859899E-2</v>
      </c>
      <c r="AY21" s="10">
        <v>7.2021280389378467E-2</v>
      </c>
      <c r="AZ21" s="10">
        <v>7.4124554643461266E-2</v>
      </c>
      <c r="BA21" s="10">
        <v>7.518628267952647E-2</v>
      </c>
      <c r="BB21" s="10">
        <v>7.5828543879676608E-2</v>
      </c>
      <c r="BC21" s="10">
        <v>7.7537378563310888E-2</v>
      </c>
      <c r="BD21" s="10">
        <v>7.9863050005912581E-2</v>
      </c>
      <c r="BE21" s="10">
        <v>8.2355605601580228E-2</v>
      </c>
      <c r="BF21" s="10">
        <v>8.4966520582025959E-2</v>
      </c>
    </row>
    <row r="22" spans="1:58" x14ac:dyDescent="0.15">
      <c r="A22" s="3" t="s">
        <v>5</v>
      </c>
      <c r="B22" s="4">
        <f t="shared" ref="B22:M26" si="4">B$27*$N22</f>
        <v>769.07384746465937</v>
      </c>
      <c r="C22" s="4">
        <f t="shared" si="4"/>
        <v>782.28758401742596</v>
      </c>
      <c r="D22" s="4">
        <f t="shared" si="4"/>
        <v>794.93820829505387</v>
      </c>
      <c r="E22" s="4">
        <f t="shared" si="4"/>
        <v>807.46592974839234</v>
      </c>
      <c r="F22" s="4">
        <f t="shared" si="4"/>
        <v>821.17372988471698</v>
      </c>
      <c r="G22" s="4">
        <f t="shared" si="4"/>
        <v>834.58903476276566</v>
      </c>
      <c r="H22" s="4">
        <f t="shared" si="4"/>
        <v>842.74288704323874</v>
      </c>
      <c r="I22" s="4">
        <f t="shared" si="4"/>
        <v>846.97144622588394</v>
      </c>
      <c r="J22" s="4">
        <f t="shared" si="4"/>
        <v>851.82336699463599</v>
      </c>
      <c r="K22" s="4">
        <f t="shared" si="4"/>
        <v>857.57085313991047</v>
      </c>
      <c r="L22" s="4">
        <f t="shared" si="4"/>
        <v>863.90554166790162</v>
      </c>
      <c r="M22" s="4">
        <f t="shared" si="4"/>
        <v>870.49723942743685</v>
      </c>
      <c r="N22" s="9">
        <v>4.8084047061612782E-2</v>
      </c>
      <c r="P22" s="5" t="s">
        <v>6</v>
      </c>
      <c r="Q22" s="4">
        <f t="shared" ref="Q22:AB22" si="5">B22*$AC22</f>
        <v>387.59576967842116</v>
      </c>
      <c r="R22" s="4">
        <f t="shared" si="5"/>
        <v>394.25519309579693</v>
      </c>
      <c r="S22" s="4">
        <f t="shared" si="5"/>
        <v>400.63082070290397</v>
      </c>
      <c r="T22" s="4">
        <f t="shared" si="5"/>
        <v>406.94450807509969</v>
      </c>
      <c r="U22" s="4">
        <f t="shared" si="5"/>
        <v>413.85292832882686</v>
      </c>
      <c r="V22" s="4">
        <f t="shared" si="5"/>
        <v>420.61393760878013</v>
      </c>
      <c r="W22" s="4">
        <f t="shared" si="5"/>
        <v>424.72329415615559</v>
      </c>
      <c r="X22" s="4">
        <f t="shared" si="5"/>
        <v>426.85439204282949</v>
      </c>
      <c r="Y22" s="4">
        <f t="shared" si="5"/>
        <v>429.29965002550927</v>
      </c>
      <c r="Z22" s="4">
        <f t="shared" si="5"/>
        <v>432.19625263855818</v>
      </c>
      <c r="AA22" s="4">
        <f t="shared" si="5"/>
        <v>435.38879192951697</v>
      </c>
      <c r="AB22" s="4">
        <f t="shared" si="5"/>
        <v>438.71085804191586</v>
      </c>
      <c r="AC22" s="9">
        <v>0.50397731109460464</v>
      </c>
      <c r="AE22" s="5" t="s">
        <v>19</v>
      </c>
      <c r="AF22" s="6">
        <f>(B$27-B$22)*$AU18</f>
        <v>5453.4674755949382</v>
      </c>
      <c r="AG22" s="6">
        <f t="shared" ref="AG22:AQ22" si="6">(C$27-C$22)*$AU18</f>
        <v>5547.1654771056492</v>
      </c>
      <c r="AH22" s="6">
        <f t="shared" si="6"/>
        <v>5636.8704752296235</v>
      </c>
      <c r="AI22" s="6">
        <f t="shared" si="6"/>
        <v>5725.7039750480326</v>
      </c>
      <c r="AJ22" s="6">
        <f t="shared" si="6"/>
        <v>5822.9053588317111</v>
      </c>
      <c r="AK22" s="6">
        <f t="shared" si="6"/>
        <v>5918.032672117437</v>
      </c>
      <c r="AL22" s="6">
        <f t="shared" si="6"/>
        <v>5975.8512656880739</v>
      </c>
      <c r="AM22" s="6">
        <f t="shared" si="6"/>
        <v>6005.8357854415462</v>
      </c>
      <c r="AN22" s="6">
        <f t="shared" si="6"/>
        <v>6040.2405336900811</v>
      </c>
      <c r="AO22" s="6">
        <f t="shared" si="6"/>
        <v>6080.995695061144</v>
      </c>
      <c r="AP22" s="6">
        <f t="shared" si="6"/>
        <v>6125.9146816699194</v>
      </c>
      <c r="AQ22" s="6">
        <f t="shared" si="6"/>
        <v>6172.6561089841916</v>
      </c>
    </row>
    <row r="23" spans="1:58" x14ac:dyDescent="0.15">
      <c r="A23" s="3" t="s">
        <v>8</v>
      </c>
      <c r="B23" s="4">
        <f t="shared" si="4"/>
        <v>1229.446450387408</v>
      </c>
      <c r="C23" s="4">
        <f t="shared" si="4"/>
        <v>1250.5700155101963</v>
      </c>
      <c r="D23" s="4">
        <f t="shared" si="4"/>
        <v>1270.7933856905602</v>
      </c>
      <c r="E23" s="4">
        <f t="shared" si="4"/>
        <v>1290.8202826173301</v>
      </c>
      <c r="F23" s="4">
        <f t="shared" si="4"/>
        <v>1312.7336609954693</v>
      </c>
      <c r="G23" s="4">
        <f t="shared" si="4"/>
        <v>1334.1794545529467</v>
      </c>
      <c r="H23" s="4">
        <f t="shared" si="4"/>
        <v>1347.2142557963623</v>
      </c>
      <c r="I23" s="4">
        <f t="shared" si="4"/>
        <v>1353.9740579850529</v>
      </c>
      <c r="J23" s="4">
        <f t="shared" si="4"/>
        <v>1361.7303700562122</v>
      </c>
      <c r="K23" s="4">
        <f t="shared" si="4"/>
        <v>1370.9183387581168</v>
      </c>
      <c r="L23" s="4">
        <f t="shared" si="4"/>
        <v>1381.0450130049696</v>
      </c>
      <c r="M23" s="4">
        <f t="shared" si="4"/>
        <v>1391.582543879545</v>
      </c>
      <c r="N23" s="9">
        <v>7.6867470107124469E-2</v>
      </c>
      <c r="P23" s="5" t="s">
        <v>9</v>
      </c>
      <c r="Q23" s="4">
        <f t="shared" ref="Q23:AB23" si="7">(B27-B22)*$AC23</f>
        <v>7814.4576748109957</v>
      </c>
      <c r="R23" s="4">
        <f t="shared" si="7"/>
        <v>7948.7207047633201</v>
      </c>
      <c r="S23" s="4">
        <f t="shared" si="7"/>
        <v>8077.2620253443747</v>
      </c>
      <c r="T23" s="4">
        <f t="shared" si="7"/>
        <v>8204.5545465784089</v>
      </c>
      <c r="U23" s="4">
        <f t="shared" si="7"/>
        <v>8343.8376912766817</v>
      </c>
      <c r="V23" s="4">
        <f t="shared" si="7"/>
        <v>8480.1488303302231</v>
      </c>
      <c r="W23" s="4">
        <f t="shared" si="7"/>
        <v>8562.999045225024</v>
      </c>
      <c r="X23" s="4">
        <f t="shared" si="7"/>
        <v>8605.9648759669562</v>
      </c>
      <c r="Y23" s="4">
        <f t="shared" si="7"/>
        <v>8655.2646013625617</v>
      </c>
      <c r="Z23" s="4">
        <f t="shared" si="7"/>
        <v>8713.6640481346403</v>
      </c>
      <c r="AA23" s="4">
        <f t="shared" si="7"/>
        <v>8778.029980675823</v>
      </c>
      <c r="AB23" s="4">
        <f t="shared" si="7"/>
        <v>8845.0073500361832</v>
      </c>
      <c r="AC23" s="9">
        <v>0.51325502305778214</v>
      </c>
      <c r="AE23" s="5" t="s">
        <v>22</v>
      </c>
      <c r="AF23" s="6">
        <f t="shared" ref="AF23:AQ25" si="8">(B$27-B$22)*$AU19</f>
        <v>3311.817455279614</v>
      </c>
      <c r="AG23" s="6">
        <f t="shared" si="8"/>
        <v>3368.7189914704272</v>
      </c>
      <c r="AH23" s="6">
        <f t="shared" si="8"/>
        <v>3423.1956304056202</v>
      </c>
      <c r="AI23" s="6">
        <f t="shared" si="8"/>
        <v>3477.1430201404582</v>
      </c>
      <c r="AJ23" s="6">
        <f t="shared" si="8"/>
        <v>3536.1721132693215</v>
      </c>
      <c r="AK23" s="6">
        <f t="shared" si="8"/>
        <v>3593.9416512785583</v>
      </c>
      <c r="AL23" s="6">
        <f t="shared" si="8"/>
        <v>3629.0541055627132</v>
      </c>
      <c r="AM23" s="6">
        <f t="shared" si="8"/>
        <v>3647.263301152881</v>
      </c>
      <c r="AN23" s="6">
        <f t="shared" si="8"/>
        <v>3668.1568420612857</v>
      </c>
      <c r="AO23" s="6">
        <f t="shared" si="8"/>
        <v>3692.9069034535014</v>
      </c>
      <c r="AP23" s="6">
        <f t="shared" si="8"/>
        <v>3720.1855999140835</v>
      </c>
      <c r="AQ23" s="6">
        <f t="shared" si="8"/>
        <v>3748.5710401054553</v>
      </c>
    </row>
    <row r="24" spans="1:58" x14ac:dyDescent="0.15">
      <c r="A24" s="3" t="s">
        <v>11</v>
      </c>
      <c r="B24" s="4">
        <f t="shared" si="4"/>
        <v>12744.578004711853</v>
      </c>
      <c r="C24" s="4">
        <f t="shared" si="4"/>
        <v>12963.547219158043</v>
      </c>
      <c r="D24" s="4">
        <f t="shared" si="4"/>
        <v>13173.184913179279</v>
      </c>
      <c r="E24" s="4">
        <f t="shared" si="4"/>
        <v>13380.785943704128</v>
      </c>
      <c r="F24" s="4">
        <f t="shared" si="4"/>
        <v>13607.942449787788</v>
      </c>
      <c r="G24" s="4">
        <f t="shared" si="4"/>
        <v>13830.251919858723</v>
      </c>
      <c r="H24" s="4">
        <f t="shared" si="4"/>
        <v>13965.372112503372</v>
      </c>
      <c r="I24" s="4">
        <f t="shared" si="4"/>
        <v>14035.444970302946</v>
      </c>
      <c r="J24" s="4">
        <f t="shared" si="4"/>
        <v>14115.847759858058</v>
      </c>
      <c r="K24" s="4">
        <f t="shared" si="4"/>
        <v>14211.091260532183</v>
      </c>
      <c r="L24" s="4">
        <f t="shared" si="4"/>
        <v>14316.065486800157</v>
      </c>
      <c r="M24" s="4">
        <f t="shared" si="4"/>
        <v>14425.298698353019</v>
      </c>
      <c r="N24" s="9">
        <v>0.79681670437651941</v>
      </c>
      <c r="P24" s="5" t="s">
        <v>12</v>
      </c>
      <c r="Q24" s="4">
        <f t="shared" ref="Q24:AB24" si="9">B27*$AC24</f>
        <v>8202.0534444894165</v>
      </c>
      <c r="R24" s="4">
        <f t="shared" si="9"/>
        <v>8342.9758978591162</v>
      </c>
      <c r="S24" s="4">
        <f t="shared" si="9"/>
        <v>8477.892846047278</v>
      </c>
      <c r="T24" s="4">
        <f t="shared" si="9"/>
        <v>8611.4990546535082</v>
      </c>
      <c r="U24" s="4">
        <f t="shared" si="9"/>
        <v>8757.6906196055079</v>
      </c>
      <c r="V24" s="4">
        <f t="shared" si="9"/>
        <v>8900.7627679390025</v>
      </c>
      <c r="W24" s="4">
        <f t="shared" si="9"/>
        <v>8987.7223393811782</v>
      </c>
      <c r="X24" s="4">
        <f t="shared" si="9"/>
        <v>9032.8192680097854</v>
      </c>
      <c r="Y24" s="4">
        <f t="shared" si="9"/>
        <v>9084.5642513880703</v>
      </c>
      <c r="Z24" s="4">
        <f t="shared" si="9"/>
        <v>9145.8603007731981</v>
      </c>
      <c r="AA24" s="4">
        <f t="shared" si="9"/>
        <v>9213.4187726053369</v>
      </c>
      <c r="AB24" s="4">
        <f t="shared" si="9"/>
        <v>9283.7182080780985</v>
      </c>
      <c r="AC24" s="9">
        <v>0.51280891311912058</v>
      </c>
      <c r="AE24" s="5" t="s">
        <v>23</v>
      </c>
      <c r="AF24" s="6">
        <f t="shared" si="8"/>
        <v>5482.3419421954186</v>
      </c>
      <c r="AG24" s="6">
        <f t="shared" si="8"/>
        <v>5576.5360463834186</v>
      </c>
      <c r="AH24" s="6">
        <f t="shared" si="8"/>
        <v>5666.7160054352471</v>
      </c>
      <c r="AI24" s="6">
        <f t="shared" si="8"/>
        <v>5756.0198518606521</v>
      </c>
      <c r="AJ24" s="6">
        <f t="shared" si="8"/>
        <v>5853.7358876748303</v>
      </c>
      <c r="AK24" s="6">
        <f t="shared" si="8"/>
        <v>5949.366871412898</v>
      </c>
      <c r="AL24" s="6">
        <f t="shared" si="8"/>
        <v>6007.4915970098855</v>
      </c>
      <c r="AM24" s="6">
        <f t="shared" si="8"/>
        <v>6037.6348757580763</v>
      </c>
      <c r="AN24" s="6">
        <f t="shared" si="8"/>
        <v>6072.2217867789468</v>
      </c>
      <c r="AO24" s="6">
        <f t="shared" si="8"/>
        <v>6113.1927344458072</v>
      </c>
      <c r="AP24" s="6">
        <f t="shared" si="8"/>
        <v>6158.3495535500297</v>
      </c>
      <c r="AQ24" s="6">
        <f t="shared" si="8"/>
        <v>6205.3384626339985</v>
      </c>
    </row>
    <row r="25" spans="1:58" x14ac:dyDescent="0.15">
      <c r="A25" s="3" t="s">
        <v>14</v>
      </c>
      <c r="B25" s="4">
        <f t="shared" si="4"/>
        <v>1232.2253309613691</v>
      </c>
      <c r="C25" s="4">
        <f t="shared" si="4"/>
        <v>1253.3966410386076</v>
      </c>
      <c r="D25" s="4">
        <f t="shared" si="4"/>
        <v>1273.6657214900583</v>
      </c>
      <c r="E25" s="4">
        <f t="shared" si="4"/>
        <v>1293.7378846053712</v>
      </c>
      <c r="F25" s="4">
        <f t="shared" si="4"/>
        <v>1315.7007931289395</v>
      </c>
      <c r="G25" s="4">
        <f t="shared" si="4"/>
        <v>1337.1950599640379</v>
      </c>
      <c r="H25" s="4">
        <f t="shared" si="4"/>
        <v>1350.2593233739021</v>
      </c>
      <c r="I25" s="4">
        <f t="shared" si="4"/>
        <v>1357.0344045387369</v>
      </c>
      <c r="J25" s="4">
        <f t="shared" si="4"/>
        <v>1364.808247967145</v>
      </c>
      <c r="K25" s="4">
        <f t="shared" si="4"/>
        <v>1374.0169839564185</v>
      </c>
      <c r="L25" s="4">
        <f t="shared" si="4"/>
        <v>1384.1665472183518</v>
      </c>
      <c r="M25" s="4">
        <f t="shared" si="4"/>
        <v>1394.727895754799</v>
      </c>
      <c r="N25" s="9">
        <v>7.7041211321622199E-2</v>
      </c>
      <c r="P25" s="5" t="s">
        <v>15</v>
      </c>
      <c r="Q25" s="4">
        <f t="shared" ref="Q25:AB25" si="10">B22*$AC25</f>
        <v>381.4780777862382</v>
      </c>
      <c r="R25" s="4">
        <f t="shared" si="10"/>
        <v>388.03239092162903</v>
      </c>
      <c r="S25" s="4">
        <f t="shared" si="10"/>
        <v>394.30738759214989</v>
      </c>
      <c r="T25" s="4">
        <f t="shared" si="10"/>
        <v>400.52142167329265</v>
      </c>
      <c r="U25" s="4">
        <f t="shared" si="10"/>
        <v>407.32080155589011</v>
      </c>
      <c r="V25" s="4">
        <f t="shared" si="10"/>
        <v>413.97509715398553</v>
      </c>
      <c r="W25" s="4">
        <f t="shared" si="10"/>
        <v>418.01959288708315</v>
      </c>
      <c r="X25" s="4">
        <f t="shared" si="10"/>
        <v>420.11705418305445</v>
      </c>
      <c r="Y25" s="4">
        <f t="shared" si="10"/>
        <v>422.52371696912672</v>
      </c>
      <c r="Z25" s="4">
        <f t="shared" si="10"/>
        <v>425.37460050135229</v>
      </c>
      <c r="AA25" s="4">
        <f t="shared" si="10"/>
        <v>428.51674973838465</v>
      </c>
      <c r="AB25" s="4">
        <f t="shared" si="10"/>
        <v>431.786381385521</v>
      </c>
      <c r="AC25" s="9">
        <f>1-AC22</f>
        <v>0.49602268890539536</v>
      </c>
      <c r="AE25" s="5" t="s">
        <v>24</v>
      </c>
      <c r="AF25" s="6">
        <f t="shared" si="8"/>
        <v>977.66527946537065</v>
      </c>
      <c r="AG25" s="6">
        <f t="shared" si="8"/>
        <v>994.46290102307921</v>
      </c>
      <c r="AH25" s="6">
        <f t="shared" si="8"/>
        <v>1010.5446806344537</v>
      </c>
      <c r="AI25" s="6">
        <f t="shared" si="8"/>
        <v>1026.4702232024649</v>
      </c>
      <c r="AJ25" s="6">
        <f t="shared" si="8"/>
        <v>1043.8959103394222</v>
      </c>
      <c r="AK25" s="6">
        <f t="shared" si="8"/>
        <v>1060.9497704283435</v>
      </c>
      <c r="AL25" s="6">
        <f t="shared" si="8"/>
        <v>1071.3151446960915</v>
      </c>
      <c r="AM25" s="6">
        <f t="shared" si="8"/>
        <v>1076.6905914216109</v>
      </c>
      <c r="AN25" s="6">
        <f t="shared" si="8"/>
        <v>1082.858470475051</v>
      </c>
      <c r="AO25" s="6">
        <f t="shared" si="8"/>
        <v>1090.1648138996352</v>
      </c>
      <c r="AP25" s="6">
        <f t="shared" si="8"/>
        <v>1098.2176231980677</v>
      </c>
      <c r="AQ25" s="6">
        <f t="shared" si="8"/>
        <v>1106.5971488489167</v>
      </c>
    </row>
    <row r="26" spans="1:58" x14ac:dyDescent="0.15">
      <c r="A26" s="3" t="s">
        <v>17</v>
      </c>
      <c r="B26" s="4">
        <f t="shared" si="4"/>
        <v>19.042366474711059</v>
      </c>
      <c r="C26" s="4">
        <f t="shared" si="4"/>
        <v>19.369540275728429</v>
      </c>
      <c r="D26" s="4">
        <f t="shared" si="4"/>
        <v>19.682771345049815</v>
      </c>
      <c r="E26" s="4">
        <f t="shared" si="4"/>
        <v>19.992959324778944</v>
      </c>
      <c r="F26" s="4">
        <f t="shared" si="4"/>
        <v>20.332366203089137</v>
      </c>
      <c r="G26" s="4">
        <f t="shared" si="4"/>
        <v>20.664530861528551</v>
      </c>
      <c r="H26" s="4">
        <f t="shared" si="4"/>
        <v>20.866421283127575</v>
      </c>
      <c r="I26" s="4">
        <f t="shared" si="4"/>
        <v>20.971120947381387</v>
      </c>
      <c r="J26" s="4">
        <f t="shared" si="4"/>
        <v>21.091255123948979</v>
      </c>
      <c r="K26" s="4">
        <f t="shared" si="4"/>
        <v>21.233563613370954</v>
      </c>
      <c r="L26" s="4">
        <f t="shared" si="4"/>
        <v>21.390411308622607</v>
      </c>
      <c r="M26" s="4">
        <f t="shared" si="4"/>
        <v>21.553622585200792</v>
      </c>
      <c r="N26" s="9">
        <v>1.1905671331211916E-3</v>
      </c>
      <c r="P26" s="5" t="s">
        <v>18</v>
      </c>
      <c r="Q26" s="4">
        <f t="shared" ref="Q26:AB26" si="11">(B27-B22)*$AC26</f>
        <v>7410.8344777243456</v>
      </c>
      <c r="R26" s="4">
        <f t="shared" si="11"/>
        <v>7538.1627112192546</v>
      </c>
      <c r="S26" s="4">
        <f t="shared" si="11"/>
        <v>7660.0647663605705</v>
      </c>
      <c r="T26" s="4">
        <f t="shared" si="11"/>
        <v>7780.7825236731987</v>
      </c>
      <c r="U26" s="4">
        <f t="shared" si="11"/>
        <v>7912.8715788386035</v>
      </c>
      <c r="V26" s="4">
        <f t="shared" si="11"/>
        <v>8042.1421349070133</v>
      </c>
      <c r="W26" s="4">
        <f t="shared" si="11"/>
        <v>8120.7130677317409</v>
      </c>
      <c r="X26" s="4">
        <f t="shared" si="11"/>
        <v>8161.4596778071591</v>
      </c>
      <c r="Y26" s="4">
        <f t="shared" si="11"/>
        <v>8208.2130316428029</v>
      </c>
      <c r="Z26" s="4">
        <f t="shared" si="11"/>
        <v>8263.5960987254475</v>
      </c>
      <c r="AA26" s="4">
        <f t="shared" si="11"/>
        <v>8324.637477656277</v>
      </c>
      <c r="AB26" s="4">
        <f t="shared" si="11"/>
        <v>8388.1554105363793</v>
      </c>
      <c r="AC26" s="9">
        <f>1-AC23</f>
        <v>0.48674497694221786</v>
      </c>
      <c r="AE26" s="5" t="s">
        <v>26</v>
      </c>
      <c r="AF26" s="6">
        <f>B$27*$AU18</f>
        <v>5728.9379999999992</v>
      </c>
      <c r="AG26" s="6">
        <f t="shared" ref="AG26:AQ26" si="12">C$27*$AU18</f>
        <v>5827.368960445071</v>
      </c>
      <c r="AH26" s="6">
        <f t="shared" si="12"/>
        <v>5921.6052192734614</v>
      </c>
      <c r="AI26" s="6">
        <f t="shared" si="12"/>
        <v>6014.9259578787924</v>
      </c>
      <c r="AJ26" s="6">
        <f t="shared" si="12"/>
        <v>6117.0372666383901</v>
      </c>
      <c r="AK26" s="6">
        <f t="shared" si="12"/>
        <v>6216.9697375588376</v>
      </c>
      <c r="AL26" s="6">
        <f t="shared" si="12"/>
        <v>6277.70891667666</v>
      </c>
      <c r="AM26" s="6">
        <f t="shared" si="12"/>
        <v>6309.2080418472351</v>
      </c>
      <c r="AN26" s="6">
        <f t="shared" si="12"/>
        <v>6345.3506741272513</v>
      </c>
      <c r="AO26" s="6">
        <f t="shared" si="12"/>
        <v>6388.1644973910179</v>
      </c>
      <c r="AP26" s="6">
        <f t="shared" si="12"/>
        <v>6435.3524728316206</v>
      </c>
      <c r="AQ26" s="6">
        <f t="shared" si="12"/>
        <v>6484.4549457652774</v>
      </c>
    </row>
    <row r="27" spans="1:58" x14ac:dyDescent="0.15">
      <c r="A27" s="3" t="s">
        <v>2</v>
      </c>
      <c r="B27" s="4">
        <v>15994.366</v>
      </c>
      <c r="C27" s="4">
        <v>16269.171</v>
      </c>
      <c r="D27" s="4">
        <v>16532.264999999999</v>
      </c>
      <c r="E27" s="4">
        <v>16792.803</v>
      </c>
      <c r="F27" s="4">
        <v>17077.883000000002</v>
      </c>
      <c r="G27" s="4">
        <v>17356.88</v>
      </c>
      <c r="H27" s="4">
        <v>17526.455000000002</v>
      </c>
      <c r="I27" s="4">
        <v>17614.396000000001</v>
      </c>
      <c r="J27" s="4">
        <v>17715.300999999999</v>
      </c>
      <c r="K27" s="4">
        <v>17834.830999999998</v>
      </c>
      <c r="L27" s="4">
        <v>17966.573</v>
      </c>
      <c r="M27" s="4">
        <v>18103.66</v>
      </c>
      <c r="N27" s="9">
        <v>1</v>
      </c>
      <c r="P27" s="5" t="s">
        <v>21</v>
      </c>
      <c r="Q27" s="4">
        <f t="shared" ref="Q27:AB27" si="13">B27*$AC27</f>
        <v>7792.3125555105835</v>
      </c>
      <c r="R27" s="4">
        <f t="shared" si="13"/>
        <v>7926.195102140884</v>
      </c>
      <c r="S27" s="4">
        <f t="shared" si="13"/>
        <v>8054.3721539527214</v>
      </c>
      <c r="T27" s="4">
        <f t="shared" si="13"/>
        <v>8181.3039453464926</v>
      </c>
      <c r="U27" s="4">
        <f t="shared" si="13"/>
        <v>8320.1923803944937</v>
      </c>
      <c r="V27" s="4">
        <f t="shared" si="13"/>
        <v>8456.1172320609985</v>
      </c>
      <c r="W27" s="4">
        <f t="shared" si="13"/>
        <v>8538.7326606188235</v>
      </c>
      <c r="X27" s="4">
        <f t="shared" si="13"/>
        <v>8581.5767319902152</v>
      </c>
      <c r="Y27" s="4">
        <f t="shared" si="13"/>
        <v>8630.7367486119292</v>
      </c>
      <c r="Z27" s="4">
        <f t="shared" si="13"/>
        <v>8688.9706992268002</v>
      </c>
      <c r="AA27" s="4">
        <f t="shared" si="13"/>
        <v>8753.1542273946634</v>
      </c>
      <c r="AB27" s="4">
        <f t="shared" si="13"/>
        <v>8819.9417919219013</v>
      </c>
      <c r="AC27" s="9">
        <f>1-AC24</f>
        <v>0.48719108688087942</v>
      </c>
      <c r="AE27" s="5" t="s">
        <v>27</v>
      </c>
      <c r="AF27" s="6">
        <f t="shared" ref="AF27:AQ29" si="14">B$27*$AU19</f>
        <v>3479.107</v>
      </c>
      <c r="AG27" s="6">
        <f t="shared" si="14"/>
        <v>3538.8827984989844</v>
      </c>
      <c r="AH27" s="6">
        <f t="shared" si="14"/>
        <v>3596.1112111199031</v>
      </c>
      <c r="AI27" s="6">
        <f t="shared" si="14"/>
        <v>3652.7836406220167</v>
      </c>
      <c r="AJ27" s="6">
        <f t="shared" si="14"/>
        <v>3714.7944651561061</v>
      </c>
      <c r="AK27" s="6">
        <f t="shared" si="14"/>
        <v>3775.4821107732564</v>
      </c>
      <c r="AL27" s="6">
        <f t="shared" si="14"/>
        <v>3812.3681973818161</v>
      </c>
      <c r="AM27" s="6">
        <f t="shared" si="14"/>
        <v>3831.4971924721494</v>
      </c>
      <c r="AN27" s="6">
        <f t="shared" si="14"/>
        <v>3853.4461269804005</v>
      </c>
      <c r="AO27" s="6">
        <f t="shared" si="14"/>
        <v>3879.4463860535016</v>
      </c>
      <c r="AP27" s="6">
        <f t="shared" si="14"/>
        <v>3908.1030089164524</v>
      </c>
      <c r="AQ27" s="6">
        <f t="shared" si="14"/>
        <v>3937.9222803592215</v>
      </c>
    </row>
    <row r="28" spans="1:58" x14ac:dyDescent="0.15">
      <c r="A28" s="7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P28" s="7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E28" s="5" t="s">
        <v>28</v>
      </c>
      <c r="AF28" s="6">
        <f t="shared" si="14"/>
        <v>5759.2709999999997</v>
      </c>
      <c r="AG28" s="6">
        <f t="shared" si="14"/>
        <v>5858.223122713398</v>
      </c>
      <c r="AH28" s="6">
        <f t="shared" si="14"/>
        <v>5952.9583341293428</v>
      </c>
      <c r="AI28" s="6">
        <f t="shared" si="14"/>
        <v>6046.773177918587</v>
      </c>
      <c r="AJ28" s="6">
        <f t="shared" si="14"/>
        <v>6149.4251352815745</v>
      </c>
      <c r="AK28" s="6">
        <f t="shared" si="14"/>
        <v>6249.8867185157578</v>
      </c>
      <c r="AL28" s="6">
        <f t="shared" si="14"/>
        <v>6310.947493280134</v>
      </c>
      <c r="AM28" s="6">
        <f t="shared" si="14"/>
        <v>6342.6133968246068</v>
      </c>
      <c r="AN28" s="6">
        <f t="shared" si="14"/>
        <v>6378.9473934491052</v>
      </c>
      <c r="AO28" s="6">
        <f t="shared" si="14"/>
        <v>6421.9879030029069</v>
      </c>
      <c r="AP28" s="6">
        <f t="shared" si="14"/>
        <v>6469.4257245509452</v>
      </c>
      <c r="AQ28" s="6">
        <f t="shared" si="14"/>
        <v>6518.7881802792308</v>
      </c>
    </row>
    <row r="29" spans="1:58" x14ac:dyDescent="0.15">
      <c r="A29" s="1" t="s">
        <v>32</v>
      </c>
      <c r="P29" s="1" t="s">
        <v>32</v>
      </c>
      <c r="AE29" s="5" t="s">
        <v>29</v>
      </c>
      <c r="AF29" s="6">
        <f t="shared" si="14"/>
        <v>1027.05</v>
      </c>
      <c r="AG29" s="6">
        <f t="shared" si="14"/>
        <v>1044.6961183425465</v>
      </c>
      <c r="AH29" s="6">
        <f t="shared" si="14"/>
        <v>1061.5902354772925</v>
      </c>
      <c r="AI29" s="6">
        <f t="shared" si="14"/>
        <v>1078.3202235806034</v>
      </c>
      <c r="AJ29" s="6">
        <f t="shared" si="14"/>
        <v>1096.626132923931</v>
      </c>
      <c r="AK29" s="6">
        <f t="shared" si="14"/>
        <v>1114.5414331521488</v>
      </c>
      <c r="AL29" s="6">
        <f t="shared" si="14"/>
        <v>1125.4303926613911</v>
      </c>
      <c r="AM29" s="6">
        <f t="shared" si="14"/>
        <v>1131.0773688560084</v>
      </c>
      <c r="AN29" s="6">
        <f t="shared" si="14"/>
        <v>1137.5568054432417</v>
      </c>
      <c r="AO29" s="6">
        <f t="shared" si="14"/>
        <v>1145.2322135525721</v>
      </c>
      <c r="AP29" s="6">
        <f t="shared" si="14"/>
        <v>1153.6917937009821</v>
      </c>
      <c r="AQ29" s="6">
        <f t="shared" si="14"/>
        <v>1162.4945935962701</v>
      </c>
    </row>
    <row r="30" spans="1:58" x14ac:dyDescent="0.15">
      <c r="A30" s="2" t="s">
        <v>1</v>
      </c>
      <c r="B30" s="2">
        <v>2014</v>
      </c>
      <c r="C30" s="2">
        <v>2015</v>
      </c>
      <c r="D30" s="2">
        <v>2016</v>
      </c>
      <c r="E30" s="2">
        <v>2017</v>
      </c>
      <c r="F30" s="2">
        <v>2018</v>
      </c>
      <c r="G30" s="2">
        <v>2019</v>
      </c>
      <c r="H30" s="2">
        <v>2020</v>
      </c>
      <c r="I30" s="2">
        <v>2021</v>
      </c>
      <c r="J30" s="2">
        <v>2022</v>
      </c>
      <c r="K30" s="2">
        <v>2023</v>
      </c>
      <c r="L30" s="2">
        <v>2024</v>
      </c>
      <c r="M30" s="2">
        <v>2025</v>
      </c>
      <c r="P30" s="2" t="s">
        <v>3</v>
      </c>
      <c r="Q30" s="2">
        <v>2014</v>
      </c>
      <c r="R30" s="2">
        <v>2015</v>
      </c>
      <c r="S30" s="2">
        <v>2016</v>
      </c>
      <c r="T30" s="2">
        <v>2017</v>
      </c>
      <c r="U30" s="2">
        <v>2018</v>
      </c>
      <c r="V30" s="2">
        <v>2019</v>
      </c>
      <c r="W30" s="2">
        <v>2020</v>
      </c>
      <c r="X30" s="2">
        <v>2021</v>
      </c>
      <c r="Y30" s="2">
        <v>2022</v>
      </c>
      <c r="Z30" s="2">
        <v>2023</v>
      </c>
      <c r="AA30" s="2">
        <v>2024</v>
      </c>
      <c r="AB30" s="2">
        <v>2025</v>
      </c>
    </row>
    <row r="31" spans="1:58" x14ac:dyDescent="0.15">
      <c r="A31" s="3" t="s">
        <v>5</v>
      </c>
      <c r="B31" s="13">
        <f>B3/(B22/100)</f>
        <v>16.903448274643583</v>
      </c>
      <c r="C31" s="13">
        <f t="shared" ref="C31:M31" si="15">C3/(C22/100)</f>
        <v>13.933494820438305</v>
      </c>
      <c r="D31" s="13">
        <f t="shared" si="15"/>
        <v>11.824818459991599</v>
      </c>
      <c r="E31" s="13">
        <f t="shared" si="15"/>
        <v>11.517513813738114</v>
      </c>
      <c r="F31" s="13">
        <f t="shared" si="15"/>
        <v>8.2808299298062522</v>
      </c>
      <c r="G31" s="13">
        <f t="shared" si="15"/>
        <v>14.617973028447329</v>
      </c>
      <c r="H31" s="13">
        <f t="shared" si="15"/>
        <v>14.239218371930697</v>
      </c>
      <c r="I31" s="13">
        <f t="shared" si="15"/>
        <v>29.280798202240621</v>
      </c>
      <c r="J31" s="13">
        <f t="shared" si="15"/>
        <v>73.489413915542656</v>
      </c>
      <c r="K31" s="13">
        <f t="shared" si="15"/>
        <v>82.908601358913273</v>
      </c>
      <c r="L31" s="13">
        <f t="shared" si="15"/>
        <v>54.982862950842978</v>
      </c>
      <c r="M31" s="13">
        <f t="shared" si="15"/>
        <v>63.756663991840696</v>
      </c>
      <c r="P31" s="5" t="s">
        <v>6</v>
      </c>
      <c r="Q31" s="13">
        <f>Q3/(Q22/100)</f>
        <v>4.9020142855954907</v>
      </c>
      <c r="R31" s="13">
        <f t="shared" ref="R31:AB32" si="16">R3/(R22/100)</f>
        <v>2.5364282259612949</v>
      </c>
      <c r="S31" s="13">
        <f t="shared" si="16"/>
        <v>2.9952762942566635</v>
      </c>
      <c r="T31" s="13">
        <f t="shared" si="16"/>
        <v>3.1945387496422266</v>
      </c>
      <c r="U31" s="13">
        <f t="shared" si="16"/>
        <v>0.72489519697595328</v>
      </c>
      <c r="V31" s="13">
        <f t="shared" si="16"/>
        <v>0.71324312671501366</v>
      </c>
      <c r="W31" s="13">
        <f t="shared" si="16"/>
        <v>0.9417896439956841</v>
      </c>
      <c r="X31" s="13">
        <f t="shared" si="16"/>
        <v>1.8741753977776339</v>
      </c>
      <c r="Y31" s="13">
        <f t="shared" si="16"/>
        <v>8.3857510710434671</v>
      </c>
      <c r="Z31" s="13">
        <f t="shared" si="16"/>
        <v>6.2471619860572591</v>
      </c>
      <c r="AA31" s="13">
        <f t="shared" si="16"/>
        <v>7.3497528170592696</v>
      </c>
      <c r="AB31" s="13">
        <f t="shared" si="16"/>
        <v>10.029384774378229</v>
      </c>
    </row>
    <row r="32" spans="1:58" x14ac:dyDescent="0.15">
      <c r="A32" s="3" t="s">
        <v>8</v>
      </c>
      <c r="B32" s="13">
        <f t="shared" ref="B32:M35" si="17">B4/(B23/100)</f>
        <v>1.9520980350496286</v>
      </c>
      <c r="C32" s="13">
        <f t="shared" si="17"/>
        <v>2.798723747244253</v>
      </c>
      <c r="D32" s="13">
        <f t="shared" si="17"/>
        <v>2.5181119417466062</v>
      </c>
      <c r="E32" s="13">
        <f t="shared" si="17"/>
        <v>1.8592828392296741</v>
      </c>
      <c r="F32" s="13">
        <f t="shared" si="17"/>
        <v>1.9044228652628634</v>
      </c>
      <c r="G32" s="13">
        <f t="shared" si="17"/>
        <v>2.0986682042246083</v>
      </c>
      <c r="H32" s="13">
        <f t="shared" si="17"/>
        <v>1.7072265900574435</v>
      </c>
      <c r="I32" s="13">
        <f t="shared" si="17"/>
        <v>1.8464164695447944</v>
      </c>
      <c r="J32" s="13">
        <f t="shared" si="17"/>
        <v>2.2765152839119187</v>
      </c>
      <c r="K32" s="13">
        <f t="shared" si="17"/>
        <v>2.844808395759677</v>
      </c>
      <c r="L32" s="13">
        <f t="shared" si="17"/>
        <v>2.3894948889606722</v>
      </c>
      <c r="M32" s="13">
        <f t="shared" si="17"/>
        <v>3.4493102986318336</v>
      </c>
      <c r="P32" s="5" t="s">
        <v>9</v>
      </c>
      <c r="Q32" s="13">
        <f>Q4/(Q23/100)</f>
        <v>2.1370644893030168</v>
      </c>
      <c r="R32" s="13">
        <f t="shared" si="16"/>
        <v>2.0506444502738814</v>
      </c>
      <c r="S32" s="13">
        <f t="shared" si="16"/>
        <v>2.0427714178674945</v>
      </c>
      <c r="T32" s="13">
        <f t="shared" si="16"/>
        <v>2.218280090244515</v>
      </c>
      <c r="U32" s="13">
        <f t="shared" si="16"/>
        <v>1.6299454163901741</v>
      </c>
      <c r="V32" s="13">
        <f t="shared" si="16"/>
        <v>1.7216678966507555</v>
      </c>
      <c r="W32" s="13">
        <f t="shared" si="16"/>
        <v>1.8217916313676352</v>
      </c>
      <c r="X32" s="13">
        <f t="shared" si="16"/>
        <v>2.5447466165192014</v>
      </c>
      <c r="Y32" s="13">
        <f t="shared" si="16"/>
        <v>4.4712671168837081</v>
      </c>
      <c r="Z32" s="13">
        <f t="shared" si="16"/>
        <v>6.5988314080469044</v>
      </c>
      <c r="AA32" s="13">
        <f t="shared" si="16"/>
        <v>5.5137656292526884</v>
      </c>
      <c r="AB32" s="13">
        <f t="shared" si="16"/>
        <v>7.7670936022137909</v>
      </c>
      <c r="AE32" s="1" t="s">
        <v>32</v>
      </c>
    </row>
    <row r="33" spans="1:43" x14ac:dyDescent="0.15">
      <c r="A33" s="3" t="s">
        <v>11</v>
      </c>
      <c r="B33" s="13">
        <f t="shared" si="17"/>
        <v>8.8822085720020176</v>
      </c>
      <c r="C33" s="13">
        <f t="shared" si="17"/>
        <v>6.7034121549367098</v>
      </c>
      <c r="D33" s="13">
        <f t="shared" si="17"/>
        <v>6.0122134868662904</v>
      </c>
      <c r="E33" s="13">
        <f t="shared" si="17"/>
        <v>6.1730305190977672</v>
      </c>
      <c r="F33" s="13">
        <f t="shared" si="17"/>
        <v>6.4741602431875283</v>
      </c>
      <c r="G33" s="13">
        <f t="shared" si="17"/>
        <v>7.2449873350552503</v>
      </c>
      <c r="H33" s="13">
        <f t="shared" si="17"/>
        <v>8.4566310907149838</v>
      </c>
      <c r="I33" s="13">
        <f t="shared" si="17"/>
        <v>15.204362986105878</v>
      </c>
      <c r="J33" s="13">
        <f t="shared" si="17"/>
        <v>28.761999059990039</v>
      </c>
      <c r="K33" s="13">
        <f t="shared" si="17"/>
        <v>49.250264259705403</v>
      </c>
      <c r="L33" s="13">
        <f t="shared" si="17"/>
        <v>42.511680360860851</v>
      </c>
      <c r="M33" s="13">
        <f t="shared" si="17"/>
        <v>54.425216171755068</v>
      </c>
      <c r="P33" s="5" t="s">
        <v>12</v>
      </c>
      <c r="Q33" s="13">
        <f t="shared" ref="Q33:AB36" si="18">Q5/(Q24/100)</f>
        <v>2.2677247991472775</v>
      </c>
      <c r="R33" s="13">
        <f t="shared" si="18"/>
        <v>2.0736006206657431</v>
      </c>
      <c r="S33" s="13">
        <f t="shared" si="18"/>
        <v>2.0877829339695446</v>
      </c>
      <c r="T33" s="13">
        <f t="shared" si="18"/>
        <v>2.2644141137613585</v>
      </c>
      <c r="U33" s="13">
        <f t="shared" si="18"/>
        <v>1.5871764148510339</v>
      </c>
      <c r="V33" s="13">
        <f t="shared" si="18"/>
        <v>1.6740138332492753</v>
      </c>
      <c r="W33" s="13">
        <f t="shared" si="18"/>
        <v>1.780206307652983</v>
      </c>
      <c r="X33" s="13">
        <f t="shared" si="18"/>
        <v>2.5130581412597581</v>
      </c>
      <c r="Y33" s="13">
        <f t="shared" si="18"/>
        <v>4.6562497473158162</v>
      </c>
      <c r="Z33" s="13">
        <f t="shared" si="18"/>
        <v>6.582212937902697</v>
      </c>
      <c r="AA33" s="13">
        <f t="shared" si="18"/>
        <v>5.6005269350639466</v>
      </c>
      <c r="AB33" s="13">
        <f t="shared" si="18"/>
        <v>7.8740003047909237</v>
      </c>
      <c r="AE33" s="2" t="s">
        <v>3</v>
      </c>
      <c r="AF33" s="2">
        <v>2014</v>
      </c>
      <c r="AG33" s="2">
        <v>2015</v>
      </c>
      <c r="AH33" s="2">
        <v>2016</v>
      </c>
      <c r="AI33" s="2">
        <v>2017</v>
      </c>
      <c r="AJ33" s="2">
        <v>2018</v>
      </c>
      <c r="AK33" s="2">
        <v>2019</v>
      </c>
      <c r="AL33" s="2">
        <v>2020</v>
      </c>
      <c r="AM33" s="2">
        <v>2021</v>
      </c>
      <c r="AN33" s="2">
        <v>2022</v>
      </c>
      <c r="AO33" s="2">
        <v>2023</v>
      </c>
      <c r="AP33" s="2">
        <v>2024</v>
      </c>
      <c r="AQ33" s="2">
        <v>2025</v>
      </c>
    </row>
    <row r="34" spans="1:43" x14ac:dyDescent="0.15">
      <c r="A34" s="3" t="s">
        <v>14</v>
      </c>
      <c r="B34" s="13">
        <f t="shared" si="17"/>
        <v>1.623079764509971</v>
      </c>
      <c r="C34" s="13">
        <f t="shared" si="17"/>
        <v>2.473279326352138</v>
      </c>
      <c r="D34" s="13">
        <f t="shared" si="17"/>
        <v>2.1983790195156443</v>
      </c>
      <c r="E34" s="13">
        <f t="shared" si="17"/>
        <v>1.5459081965510038</v>
      </c>
      <c r="F34" s="13">
        <f t="shared" si="17"/>
        <v>0.76005122534117031</v>
      </c>
      <c r="G34" s="13">
        <f t="shared" si="17"/>
        <v>1.6452349143880072</v>
      </c>
      <c r="H34" s="13">
        <f t="shared" si="17"/>
        <v>1.5552568041172385</v>
      </c>
      <c r="I34" s="13">
        <f t="shared" si="17"/>
        <v>0.66321089354098928</v>
      </c>
      <c r="J34" s="13">
        <f t="shared" si="17"/>
        <v>2.4911924477773586</v>
      </c>
      <c r="K34" s="13">
        <f t="shared" si="17"/>
        <v>5.9679029413366331</v>
      </c>
      <c r="L34" s="13">
        <f t="shared" si="17"/>
        <v>1.9506323176397904</v>
      </c>
      <c r="M34" s="13">
        <f t="shared" si="17"/>
        <v>3.6566272285247305</v>
      </c>
      <c r="P34" s="5" t="s">
        <v>15</v>
      </c>
      <c r="Q34" s="13">
        <f t="shared" si="18"/>
        <v>29.097346994130294</v>
      </c>
      <c r="R34" s="13">
        <f t="shared" si="18"/>
        <v>25.513334019580608</v>
      </c>
      <c r="S34" s="13">
        <f t="shared" si="18"/>
        <v>20.795958325999294</v>
      </c>
      <c r="T34" s="13">
        <f t="shared" si="18"/>
        <v>19.973962857161833</v>
      </c>
      <c r="U34" s="13">
        <f t="shared" si="18"/>
        <v>15.957937761025715</v>
      </c>
      <c r="V34" s="13">
        <f t="shared" si="18"/>
        <v>28.745690457736835</v>
      </c>
      <c r="W34" s="13">
        <f t="shared" si="18"/>
        <v>27.749895453186166</v>
      </c>
      <c r="X34" s="13">
        <f t="shared" si="18"/>
        <v>57.126935840939851</v>
      </c>
      <c r="Y34" s="13">
        <f t="shared" si="18"/>
        <v>139.63713190639913</v>
      </c>
      <c r="Z34" s="13">
        <f t="shared" si="18"/>
        <v>160.56435884864939</v>
      </c>
      <c r="AA34" s="13">
        <f t="shared" si="18"/>
        <v>102.91313006299906</v>
      </c>
      <c r="AB34" s="13">
        <f t="shared" si="18"/>
        <v>118.11396143702038</v>
      </c>
      <c r="AE34" s="5" t="s">
        <v>7</v>
      </c>
      <c r="AF34" s="13">
        <f>AF3/(AF18/100)</f>
        <v>3.2671372080324921</v>
      </c>
      <c r="AG34" s="13">
        <f t="shared" ref="AG34:AQ34" si="19">AG3/(AG18/100)</f>
        <v>2.8979602528219854</v>
      </c>
      <c r="AH34" s="13">
        <f t="shared" si="19"/>
        <v>2.8953635070137884</v>
      </c>
      <c r="AI34" s="13">
        <f t="shared" si="19"/>
        <v>2.1719792311204462</v>
      </c>
      <c r="AJ34" s="13">
        <f t="shared" si="19"/>
        <v>0.72450962367648997</v>
      </c>
      <c r="AK34" s="13">
        <f t="shared" si="19"/>
        <v>0.72597549385522131</v>
      </c>
      <c r="AL34" s="13">
        <f t="shared" si="19"/>
        <v>1.824559964617714</v>
      </c>
      <c r="AM34" s="13">
        <f t="shared" si="19"/>
        <v>4.0467121640455295</v>
      </c>
      <c r="AN34" s="13">
        <f t="shared" si="19"/>
        <v>14.112333188348329</v>
      </c>
      <c r="AO34" s="13">
        <f t="shared" si="19"/>
        <v>13.13258919497836</v>
      </c>
      <c r="AP34" s="13">
        <f t="shared" si="19"/>
        <v>14.414195138906795</v>
      </c>
      <c r="AQ34" s="13">
        <f t="shared" si="19"/>
        <v>14.582514530965453</v>
      </c>
    </row>
    <row r="35" spans="1:43" x14ac:dyDescent="0.15">
      <c r="A35" s="3" t="s">
        <v>17</v>
      </c>
      <c r="B35" s="13">
        <f t="shared" si="17"/>
        <v>15.754344419240681</v>
      </c>
      <c r="C35" s="13">
        <f t="shared" si="17"/>
        <v>15.488235431995452</v>
      </c>
      <c r="D35" s="13">
        <f t="shared" si="17"/>
        <v>55.88643899359468</v>
      </c>
      <c r="E35" s="13">
        <f t="shared" si="17"/>
        <v>30.010564731973915</v>
      </c>
      <c r="F35" s="13">
        <f t="shared" si="17"/>
        <v>49.182667182537173</v>
      </c>
      <c r="G35" s="13">
        <f t="shared" si="17"/>
        <v>58.070517450461793</v>
      </c>
      <c r="H35" s="13">
        <f t="shared" si="17"/>
        <v>100.6401611232705</v>
      </c>
      <c r="I35" s="13">
        <f t="shared" si="17"/>
        <v>376.7085231076527</v>
      </c>
      <c r="J35" s="13">
        <f t="shared" si="17"/>
        <v>583.18008708895809</v>
      </c>
      <c r="K35" s="13">
        <f t="shared" si="17"/>
        <v>1822.5861991262873</v>
      </c>
      <c r="L35" s="13">
        <f t="shared" si="17"/>
        <v>1748.4469774979891</v>
      </c>
      <c r="M35" s="13">
        <f t="shared" si="17"/>
        <v>389.72566986338677</v>
      </c>
      <c r="P35" s="5" t="s">
        <v>18</v>
      </c>
      <c r="Q35" s="13">
        <f>Q7/(Q26/100)</f>
        <v>13.655682137307108</v>
      </c>
      <c r="R35" s="13">
        <f t="shared" si="18"/>
        <v>10.281019788104947</v>
      </c>
      <c r="S35" s="13">
        <f t="shared" si="18"/>
        <v>9.0599756159729115</v>
      </c>
      <c r="T35" s="13">
        <f t="shared" si="18"/>
        <v>8.9194113559721018</v>
      </c>
      <c r="U35" s="13">
        <f t="shared" si="18"/>
        <v>9.9837333656810188</v>
      </c>
      <c r="V35" s="13">
        <f t="shared" si="18"/>
        <v>11.40243463268015</v>
      </c>
      <c r="W35" s="13">
        <f t="shared" si="18"/>
        <v>13.410152420324057</v>
      </c>
      <c r="X35" s="13">
        <f t="shared" si="18"/>
        <v>24.823990805335335</v>
      </c>
      <c r="Y35" s="13">
        <f t="shared" si="18"/>
        <v>46.831143212064717</v>
      </c>
      <c r="Z35" s="13">
        <f t="shared" si="18"/>
        <v>83.414047802543919</v>
      </c>
      <c r="AA35" s="13">
        <f t="shared" si="18"/>
        <v>72.207348561829988</v>
      </c>
      <c r="AB35" s="13">
        <f t="shared" si="18"/>
        <v>87.516261212554014</v>
      </c>
      <c r="AE35" s="5" t="s">
        <v>10</v>
      </c>
      <c r="AF35" s="13">
        <f t="shared" ref="AF35:AQ45" si="20">AF4/(AF19/100)</f>
        <v>31.083831381641094</v>
      </c>
      <c r="AG35" s="13">
        <f t="shared" si="20"/>
        <v>27.106367269523169</v>
      </c>
      <c r="AH35" s="13">
        <f t="shared" si="20"/>
        <v>22.111765369149758</v>
      </c>
      <c r="AI35" s="13">
        <f t="shared" si="20"/>
        <v>25.868858763173712</v>
      </c>
      <c r="AJ35" s="13">
        <f t="shared" si="20"/>
        <v>20.400986196296756</v>
      </c>
      <c r="AK35" s="13">
        <f t="shared" si="20"/>
        <v>31.326759696393054</v>
      </c>
      <c r="AL35" s="13">
        <f t="shared" si="20"/>
        <v>25.650981894755429</v>
      </c>
      <c r="AM35" s="13">
        <f t="shared" si="20"/>
        <v>64.975053751191751</v>
      </c>
      <c r="AN35" s="13">
        <f t="shared" si="20"/>
        <v>171.25336354784764</v>
      </c>
      <c r="AO35" s="13">
        <f t="shared" si="20"/>
        <v>182.25463866616317</v>
      </c>
      <c r="AP35" s="13">
        <f t="shared" si="20"/>
        <v>124.27531791910602</v>
      </c>
      <c r="AQ35" s="13">
        <f t="shared" si="20"/>
        <v>135.75430931344582</v>
      </c>
    </row>
    <row r="36" spans="1:43" x14ac:dyDescent="0.15">
      <c r="A36" s="3" t="s">
        <v>2</v>
      </c>
      <c r="B36" s="13">
        <f t="shared" ref="B36:M36" si="21">B9/(B27/100)</f>
        <v>8.190384038979726</v>
      </c>
      <c r="C36" s="13">
        <f t="shared" si="21"/>
        <v>6.4539244193819094</v>
      </c>
      <c r="D36" s="13">
        <f t="shared" si="21"/>
        <v>5.8007780543077434</v>
      </c>
      <c r="E36" s="13">
        <f t="shared" si="21"/>
        <v>5.7762840426342166</v>
      </c>
      <c r="F36" s="13">
        <f t="shared" si="21"/>
        <v>5.8321045998499921</v>
      </c>
      <c r="G36" s="13">
        <f t="shared" si="21"/>
        <v>6.8503095026295044</v>
      </c>
      <c r="H36" s="13">
        <f t="shared" si="21"/>
        <v>7.8281660495519478</v>
      </c>
      <c r="I36" s="13">
        <f t="shared" si="21"/>
        <v>14.164550405248072</v>
      </c>
      <c r="J36" s="13">
        <f t="shared" si="21"/>
        <v>27.580677291342667</v>
      </c>
      <c r="K36" s="13">
        <f t="shared" si="21"/>
        <v>46.246583441132699</v>
      </c>
      <c r="L36" s="13">
        <f t="shared" si="21"/>
        <v>39.311893258664298</v>
      </c>
      <c r="M36" s="13">
        <f t="shared" si="21"/>
        <v>50.906833203893576</v>
      </c>
      <c r="P36" s="5" t="s">
        <v>21</v>
      </c>
      <c r="Q36" s="13">
        <f>Q8/(Q27/100)</f>
        <v>14.411639574260077</v>
      </c>
      <c r="R36" s="13">
        <f t="shared" si="18"/>
        <v>11.026728319669177</v>
      </c>
      <c r="S36" s="13">
        <f t="shared" si="18"/>
        <v>9.6345188075171606</v>
      </c>
      <c r="T36" s="13">
        <f t="shared" si="18"/>
        <v>9.4605946090078898</v>
      </c>
      <c r="U36" s="13">
        <f t="shared" si="18"/>
        <v>10.276204694673911</v>
      </c>
      <c r="V36" s="13">
        <f t="shared" si="18"/>
        <v>12.251485777326399</v>
      </c>
      <c r="W36" s="13">
        <f t="shared" si="18"/>
        <v>14.11216450841161</v>
      </c>
      <c r="X36" s="13">
        <f t="shared" si="18"/>
        <v>26.405403934137819</v>
      </c>
      <c r="Y36" s="13">
        <f t="shared" si="18"/>
        <v>51.374524900358189</v>
      </c>
      <c r="Z36" s="13">
        <f t="shared" si="18"/>
        <v>87.190994908915513</v>
      </c>
      <c r="AA36" s="13">
        <f t="shared" si="18"/>
        <v>73.710571439575887</v>
      </c>
      <c r="AB36" s="13">
        <f t="shared" si="18"/>
        <v>89.014192896268938</v>
      </c>
      <c r="AE36" s="5" t="s">
        <v>13</v>
      </c>
      <c r="AF36" s="13">
        <f t="shared" si="20"/>
        <v>23.832818600991192</v>
      </c>
      <c r="AG36" s="13">
        <f t="shared" si="20"/>
        <v>18.257568001485538</v>
      </c>
      <c r="AH36" s="13">
        <f t="shared" si="20"/>
        <v>15.71453658000922</v>
      </c>
      <c r="AI36" s="13">
        <f t="shared" si="20"/>
        <v>13.96351826185761</v>
      </c>
      <c r="AJ36" s="13">
        <f t="shared" si="20"/>
        <v>9.3693186669725002</v>
      </c>
      <c r="AK36" s="13">
        <f t="shared" si="20"/>
        <v>19.467886541476862</v>
      </c>
      <c r="AL36" s="13">
        <f t="shared" si="20"/>
        <v>19.631231166154478</v>
      </c>
      <c r="AM36" s="13">
        <f t="shared" si="20"/>
        <v>35.801191803915238</v>
      </c>
      <c r="AN36" s="13">
        <f t="shared" si="20"/>
        <v>79.942786778510794</v>
      </c>
      <c r="AO36" s="13">
        <f t="shared" si="20"/>
        <v>96.272218475332792</v>
      </c>
      <c r="AP36" s="13">
        <f t="shared" si="20"/>
        <v>58.655608370720692</v>
      </c>
      <c r="AQ36" s="13">
        <f t="shared" si="20"/>
        <v>73.076927486376064</v>
      </c>
    </row>
    <row r="37" spans="1:43" x14ac:dyDescent="0.15">
      <c r="AE37" s="5" t="s">
        <v>16</v>
      </c>
      <c r="AF37" s="13">
        <f t="shared" si="20"/>
        <v>6.0747534207394143</v>
      </c>
      <c r="AG37" s="13">
        <f t="shared" si="20"/>
        <v>5.8008988083805804</v>
      </c>
      <c r="AH37" s="13">
        <f t="shared" si="20"/>
        <v>3.6997589171444987</v>
      </c>
      <c r="AI37" s="13">
        <f t="shared" si="20"/>
        <v>0</v>
      </c>
      <c r="AJ37" s="13">
        <f t="shared" si="20"/>
        <v>1.6908462342527901</v>
      </c>
      <c r="AK37" s="13">
        <f t="shared" si="20"/>
        <v>3.2329219819040511</v>
      </c>
      <c r="AL37" s="13">
        <f t="shared" si="20"/>
        <v>6.312861807795378</v>
      </c>
      <c r="AM37" s="13">
        <f t="shared" si="20"/>
        <v>3.1140709987469077</v>
      </c>
      <c r="AN37" s="13">
        <f t="shared" si="20"/>
        <v>3.0280938580139729</v>
      </c>
      <c r="AO37" s="13">
        <f t="shared" si="20"/>
        <v>4.3803150789208338</v>
      </c>
      <c r="AP37" s="13">
        <f t="shared" si="20"/>
        <v>4.2165944202745624</v>
      </c>
      <c r="AQ37" s="13">
        <f t="shared" si="20"/>
        <v>9.4641759941821597</v>
      </c>
    </row>
    <row r="38" spans="1:43" x14ac:dyDescent="0.15">
      <c r="AE38" s="5" t="s">
        <v>19</v>
      </c>
      <c r="AF38" s="13">
        <f t="shared" si="20"/>
        <v>1.3385978797285514</v>
      </c>
      <c r="AG38" s="13">
        <f t="shared" si="20"/>
        <v>1.045579048243261</v>
      </c>
      <c r="AH38" s="13">
        <f t="shared" si="20"/>
        <v>0.88701701094104357</v>
      </c>
      <c r="AI38" s="13">
        <f t="shared" si="20"/>
        <v>0.69860405243294899</v>
      </c>
      <c r="AJ38" s="13">
        <f t="shared" si="20"/>
        <v>0.63542162751935161</v>
      </c>
      <c r="AK38" s="13">
        <f t="shared" si="20"/>
        <v>0.82797785539207058</v>
      </c>
      <c r="AL38" s="13">
        <f t="shared" si="20"/>
        <v>0.95383900076764849</v>
      </c>
      <c r="AM38" s="13">
        <f t="shared" si="20"/>
        <v>1.1322320894093623</v>
      </c>
      <c r="AN38" s="13">
        <f t="shared" si="20"/>
        <v>2.6985680303764434</v>
      </c>
      <c r="AO38" s="13">
        <f t="shared" si="20"/>
        <v>5.5418555923942563</v>
      </c>
      <c r="AP38" s="13">
        <f t="shared" si="20"/>
        <v>6.1378589082390338</v>
      </c>
      <c r="AQ38" s="13">
        <f t="shared" si="20"/>
        <v>8.2136440301942386</v>
      </c>
    </row>
    <row r="39" spans="1:43" x14ac:dyDescent="0.15">
      <c r="B39" s="1" t="s">
        <v>33</v>
      </c>
      <c r="Q39" s="1" t="s">
        <v>34</v>
      </c>
      <c r="AE39" s="5" t="s">
        <v>22</v>
      </c>
      <c r="AF39" s="13">
        <f t="shared" si="20"/>
        <v>14.101018739892218</v>
      </c>
      <c r="AG39" s="13">
        <f t="shared" si="20"/>
        <v>10.211596778211707</v>
      </c>
      <c r="AH39" s="13">
        <f t="shared" si="20"/>
        <v>8.559253739327831</v>
      </c>
      <c r="AI39" s="13">
        <f t="shared" si="20"/>
        <v>8.4552173522078462</v>
      </c>
      <c r="AJ39" s="13">
        <f t="shared" si="20"/>
        <v>9.5300791139498884</v>
      </c>
      <c r="AK39" s="13">
        <f t="shared" si="20"/>
        <v>9.9612079086659673</v>
      </c>
      <c r="AL39" s="13">
        <f t="shared" si="20"/>
        <v>10.608825021645764</v>
      </c>
      <c r="AM39" s="13">
        <f t="shared" si="20"/>
        <v>22.455192630077413</v>
      </c>
      <c r="AN39" s="13">
        <f t="shared" si="20"/>
        <v>48.389424891727252</v>
      </c>
      <c r="AO39" s="13">
        <f t="shared" si="20"/>
        <v>85.434051886050369</v>
      </c>
      <c r="AP39" s="13">
        <f t="shared" si="20"/>
        <v>70.802919081801505</v>
      </c>
      <c r="AQ39" s="13">
        <f t="shared" si="20"/>
        <v>88.887204333368146</v>
      </c>
    </row>
    <row r="40" spans="1:43" x14ac:dyDescent="0.15">
      <c r="AE40" s="5" t="s">
        <v>23</v>
      </c>
      <c r="AF40" s="13">
        <f t="shared" si="20"/>
        <v>10.561179986670767</v>
      </c>
      <c r="AG40" s="13">
        <f t="shared" si="20"/>
        <v>8.5178325047868082</v>
      </c>
      <c r="AH40" s="13">
        <f t="shared" si="20"/>
        <v>8.0999294751977828</v>
      </c>
      <c r="AI40" s="13">
        <f t="shared" si="20"/>
        <v>8.5128267902273809</v>
      </c>
      <c r="AJ40" s="13">
        <f t="shared" si="20"/>
        <v>8.3707227213941415</v>
      </c>
      <c r="AK40" s="13">
        <f t="shared" si="20"/>
        <v>9.9170216386383743</v>
      </c>
      <c r="AL40" s="13">
        <f t="shared" si="20"/>
        <v>12.451120204184766</v>
      </c>
      <c r="AM40" s="13">
        <f t="shared" si="20"/>
        <v>20.968475670550433</v>
      </c>
      <c r="AN40" s="13">
        <f t="shared" si="20"/>
        <v>35.670633847993393</v>
      </c>
      <c r="AO40" s="13">
        <f t="shared" si="20"/>
        <v>59.919589633747577</v>
      </c>
      <c r="AP40" s="13">
        <f t="shared" si="20"/>
        <v>52.449117607136166</v>
      </c>
      <c r="AQ40" s="13">
        <f t="shared" si="20"/>
        <v>62.655728183272203</v>
      </c>
    </row>
    <row r="41" spans="1:43" x14ac:dyDescent="0.15">
      <c r="AE41" s="5" t="s">
        <v>24</v>
      </c>
      <c r="AF41" s="13">
        <f t="shared" si="20"/>
        <v>6.137069737488333</v>
      </c>
      <c r="AG41" s="13">
        <f t="shared" si="20"/>
        <v>6.1339643678255555</v>
      </c>
      <c r="AH41" s="13">
        <f t="shared" si="20"/>
        <v>5.5415659567710884</v>
      </c>
      <c r="AI41" s="13">
        <f t="shared" si="20"/>
        <v>4.9684831422470364</v>
      </c>
      <c r="AJ41" s="13">
        <f t="shared" si="20"/>
        <v>5.9392894814427173</v>
      </c>
      <c r="AK41" s="13">
        <f t="shared" si="20"/>
        <v>5.8438204831288454</v>
      </c>
      <c r="AL41" s="13">
        <f t="shared" si="20"/>
        <v>4.853847185624474</v>
      </c>
      <c r="AM41" s="13">
        <f t="shared" si="20"/>
        <v>5.0153684289839457</v>
      </c>
      <c r="AN41" s="13">
        <f t="shared" si="20"/>
        <v>8.1266391129945461</v>
      </c>
      <c r="AO41" s="13">
        <f t="shared" si="20"/>
        <v>10.090217423778183</v>
      </c>
      <c r="AP41" s="13">
        <f t="shared" si="20"/>
        <v>11.199965963195664</v>
      </c>
      <c r="AQ41" s="13">
        <f t="shared" si="20"/>
        <v>11.838093034693458</v>
      </c>
    </row>
    <row r="42" spans="1:43" x14ac:dyDescent="0.15">
      <c r="AE42" s="5" t="s">
        <v>26</v>
      </c>
      <c r="AF42" s="13">
        <f t="shared" si="20"/>
        <v>1.4313298555508893</v>
      </c>
      <c r="AG42" s="13">
        <f t="shared" si="20"/>
        <v>1.1325866003679161</v>
      </c>
      <c r="AH42" s="13">
        <f t="shared" si="20"/>
        <v>0.97946414616130362</v>
      </c>
      <c r="AI42" s="13">
        <f t="shared" si="20"/>
        <v>0.76476419364307913</v>
      </c>
      <c r="AJ42" s="13">
        <f t="shared" si="20"/>
        <v>0.63756355078464977</v>
      </c>
      <c r="AK42" s="13">
        <f t="shared" si="20"/>
        <v>0.82033534266527919</v>
      </c>
      <c r="AL42" s="13">
        <f t="shared" si="20"/>
        <v>0.98762145271338919</v>
      </c>
      <c r="AM42" s="13">
        <f t="shared" si="20"/>
        <v>1.2521381364509589</v>
      </c>
      <c r="AN42" s="13">
        <f t="shared" si="20"/>
        <v>3.1676736294428021</v>
      </c>
      <c r="AO42" s="13">
        <f t="shared" si="20"/>
        <v>5.8232689554554842</v>
      </c>
      <c r="AP42" s="13">
        <f t="shared" si="20"/>
        <v>6.4332140585585647</v>
      </c>
      <c r="AQ42" s="13">
        <f t="shared" si="20"/>
        <v>8.4047156554910813</v>
      </c>
    </row>
    <row r="43" spans="1:43" x14ac:dyDescent="0.15">
      <c r="AE43" s="5" t="s">
        <v>27</v>
      </c>
      <c r="AF43" s="13">
        <f t="shared" si="20"/>
        <v>14.917621102196629</v>
      </c>
      <c r="AG43" s="13">
        <f t="shared" si="20"/>
        <v>11.020427129302455</v>
      </c>
      <c r="AH43" s="13">
        <f t="shared" si="20"/>
        <v>9.204387199608318</v>
      </c>
      <c r="AI43" s="13">
        <f t="shared" si="20"/>
        <v>9.2805934693211984</v>
      </c>
      <c r="AJ43" s="13">
        <f t="shared" si="20"/>
        <v>10.040932371862072</v>
      </c>
      <c r="AK43" s="13">
        <f t="shared" si="20"/>
        <v>10.96548699883016</v>
      </c>
      <c r="AL43" s="13">
        <f t="shared" si="20"/>
        <v>11.305308870638303</v>
      </c>
      <c r="AM43" s="13">
        <f t="shared" si="20"/>
        <v>24.402993217299514</v>
      </c>
      <c r="AN43" s="13">
        <f t="shared" si="20"/>
        <v>53.951707938606255</v>
      </c>
      <c r="AO43" s="13">
        <f t="shared" si="20"/>
        <v>89.626190285802508</v>
      </c>
      <c r="AP43" s="13">
        <f t="shared" si="20"/>
        <v>73.002169940014284</v>
      </c>
      <c r="AQ43" s="13">
        <f t="shared" si="20"/>
        <v>90.682338191658005</v>
      </c>
    </row>
    <row r="44" spans="1:43" x14ac:dyDescent="0.15">
      <c r="AE44" s="5" t="s">
        <v>28</v>
      </c>
      <c r="AF44" s="13">
        <f t="shared" si="20"/>
        <v>11.19933408238647</v>
      </c>
      <c r="AG44" s="13">
        <f t="shared" si="20"/>
        <v>8.9959018111946776</v>
      </c>
      <c r="AH44" s="13">
        <f t="shared" si="20"/>
        <v>8.4831771306838721</v>
      </c>
      <c r="AI44" s="13">
        <f t="shared" si="20"/>
        <v>8.7980809656089072</v>
      </c>
      <c r="AJ44" s="13">
        <f t="shared" si="20"/>
        <v>8.4398132928279903</v>
      </c>
      <c r="AK44" s="13">
        <f t="shared" si="20"/>
        <v>10.43218908381813</v>
      </c>
      <c r="AL44" s="13">
        <f t="shared" si="20"/>
        <v>12.866530752547277</v>
      </c>
      <c r="AM44" s="13">
        <f t="shared" si="20"/>
        <v>21.836424725072984</v>
      </c>
      <c r="AN44" s="13">
        <f t="shared" si="20"/>
        <v>38.203795229643852</v>
      </c>
      <c r="AO44" s="13">
        <f t="shared" si="20"/>
        <v>62.223723562784663</v>
      </c>
      <c r="AP44" s="13">
        <f t="shared" si="20"/>
        <v>53.12681753122019</v>
      </c>
      <c r="AQ44" s="13">
        <f t="shared" si="20"/>
        <v>63.677479390382537</v>
      </c>
    </row>
    <row r="45" spans="1:43" x14ac:dyDescent="0.15">
      <c r="AE45" s="5" t="s">
        <v>29</v>
      </c>
      <c r="AF45" s="13">
        <f t="shared" si="20"/>
        <v>6.1340733167810715</v>
      </c>
      <c r="AG45" s="13">
        <f t="shared" si="20"/>
        <v>6.1261833825455998</v>
      </c>
      <c r="AH45" s="13">
        <f t="shared" si="20"/>
        <v>5.4635016470289139</v>
      </c>
      <c r="AI45" s="13">
        <f t="shared" si="20"/>
        <v>4.7295783650104006</v>
      </c>
      <c r="AJ45" s="13">
        <f t="shared" si="20"/>
        <v>5.7448931872545561</v>
      </c>
      <c r="AK45" s="13">
        <f t="shared" si="20"/>
        <v>5.7422719421919597</v>
      </c>
      <c r="AL45" s="13">
        <f t="shared" si="20"/>
        <v>4.9758741513611096</v>
      </c>
      <c r="AM45" s="13">
        <f t="shared" si="20"/>
        <v>4.9510317810212561</v>
      </c>
      <c r="AN45" s="13">
        <f t="shared" si="20"/>
        <v>7.9116928112378595</v>
      </c>
      <c r="AO45" s="13">
        <f t="shared" si="20"/>
        <v>9.8669945416107279</v>
      </c>
      <c r="AP45" s="13">
        <f t="shared" si="20"/>
        <v>10.92146105987273</v>
      </c>
      <c r="AQ45" s="13">
        <f t="shared" si="20"/>
        <v>11.871022950144305</v>
      </c>
    </row>
    <row r="61" spans="2:17" x14ac:dyDescent="0.15">
      <c r="B61" s="1" t="s">
        <v>35</v>
      </c>
      <c r="Q61" s="1" t="s">
        <v>35</v>
      </c>
    </row>
    <row r="62" spans="2:17" x14ac:dyDescent="0.15">
      <c r="B62" s="1" t="s">
        <v>36</v>
      </c>
      <c r="Q62" s="1" t="s">
        <v>36</v>
      </c>
    </row>
    <row r="64" spans="2:17" x14ac:dyDescent="0.15">
      <c r="B64" s="1" t="s">
        <v>37</v>
      </c>
    </row>
    <row r="86" spans="2:2" x14ac:dyDescent="0.15">
      <c r="B86" s="1" t="s">
        <v>35</v>
      </c>
    </row>
    <row r="87" spans="2:2" x14ac:dyDescent="0.15">
      <c r="B87" s="1" t="s">
        <v>36</v>
      </c>
    </row>
    <row r="89" spans="2:2" x14ac:dyDescent="0.15">
      <c r="B89" s="1" t="s">
        <v>38</v>
      </c>
    </row>
    <row r="111" spans="2:2" x14ac:dyDescent="0.15">
      <c r="B111" s="1" t="s">
        <v>35</v>
      </c>
    </row>
    <row r="112" spans="2:2" x14ac:dyDescent="0.15">
      <c r="B112" s="1" t="s">
        <v>36</v>
      </c>
    </row>
  </sheetData>
  <pageMargins left="0.25" right="0.25" top="0.75" bottom="0.75" header="0.3" footer="0.3"/>
  <pageSetup paperSize="9" scale="78" fitToWidth="0" orientation="portrait" horizontalDpi="300" verticalDpi="300" r:id="rId1"/>
  <colBreaks count="3" manualBreakCount="3">
    <brk id="15" max="95" man="1"/>
    <brk id="30" max="95" man="1"/>
    <brk id="44" max="9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Tasa homicidios nacional</vt:lpstr>
      <vt:lpstr>'Tasa homicidios nacional'!Área_de_impresión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AIMM</dc:creator>
  <cp:lastModifiedBy>(Estudiante) Santiago Andres Valdivieso Puertas</cp:lastModifiedBy>
  <dcterms:created xsi:type="dcterms:W3CDTF">2026-05-06T15:37:27Z</dcterms:created>
  <dcterms:modified xsi:type="dcterms:W3CDTF">2026-05-18T10:22:29Z</dcterms:modified>
</cp:coreProperties>
</file>