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/Library/CloudStorage/GoogleDrive-santy85258@gmail.com/Mi unidad/Trabajos/Observatorio de Políticas Públicas/Observatorio GH/SRI/"/>
    </mc:Choice>
  </mc:AlternateContent>
  <xr:revisionPtr revIDLastSave="0" documentId="8_{F1763A61-4A77-0C40-8C4C-FB7C4711654C}" xr6:coauthVersionLast="47" xr6:coauthVersionMax="47" xr10:uidLastSave="{00000000-0000-0000-0000-000000000000}"/>
  <bookViews>
    <workbookView xWindow="0" yWindow="600" windowWidth="23260" windowHeight="12460" activeTab="3" xr2:uid="{511FB9E9-344B-41D3-BC22-9BEAE7F60C8F}"/>
  </bookViews>
  <sheets>
    <sheet name="Total ingreso" sheetId="1" r:id="rId1"/>
    <sheet name="Ingresos de trabajo" sheetId="3" r:id="rId2"/>
    <sheet name="Ingresos de capital" sheetId="2" r:id="rId3"/>
    <sheet name="PATRIMON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4" l="1"/>
  <c r="X9" i="4"/>
  <c r="AA9" i="4" s="1"/>
  <c r="X8" i="4"/>
  <c r="AA8" i="4" s="1"/>
  <c r="X7" i="4"/>
  <c r="AA7" i="4" s="1"/>
  <c r="X6" i="4"/>
  <c r="AA6" i="4" s="1"/>
  <c r="X5" i="4"/>
  <c r="X4" i="4"/>
  <c r="AA4" i="4" s="1"/>
  <c r="T6" i="4"/>
  <c r="T4" i="4"/>
  <c r="Q9" i="4"/>
  <c r="T9" i="4" s="1"/>
  <c r="Q8" i="4"/>
  <c r="T8" i="4" s="1"/>
  <c r="Q7" i="4"/>
  <c r="T7" i="4" s="1"/>
  <c r="Q6" i="4"/>
  <c r="Q5" i="4"/>
  <c r="T5" i="4" s="1"/>
  <c r="Q4" i="4"/>
  <c r="M9" i="4"/>
  <c r="M8" i="4"/>
  <c r="M7" i="4"/>
  <c r="M6" i="4"/>
  <c r="M5" i="4"/>
  <c r="M4" i="4"/>
  <c r="J9" i="4"/>
  <c r="J8" i="4"/>
  <c r="J7" i="4"/>
  <c r="J6" i="4"/>
  <c r="J5" i="4"/>
  <c r="J4" i="4"/>
  <c r="C9" i="4"/>
  <c r="F9" i="4"/>
  <c r="C8" i="4"/>
  <c r="F8" i="4" s="1"/>
  <c r="C7" i="4"/>
  <c r="F7" i="4" s="1"/>
  <c r="C6" i="4"/>
  <c r="F6" i="4" s="1"/>
  <c r="C5" i="4"/>
  <c r="F5" i="4" s="1"/>
  <c r="C4" i="4"/>
  <c r="F4" i="4" s="1"/>
  <c r="C3" i="4"/>
  <c r="F3" i="4" s="1"/>
  <c r="AD3" i="4"/>
  <c r="X3" i="4"/>
  <c r="AA3" i="4" s="1"/>
  <c r="Q3" i="4"/>
  <c r="T3" i="4" s="1"/>
  <c r="J3" i="4"/>
  <c r="M3" i="4" s="1"/>
  <c r="AR3" i="1"/>
  <c r="AV3" i="1" s="1"/>
  <c r="AR3" i="3"/>
  <c r="AV3" i="3" s="1"/>
  <c r="M3" i="2"/>
  <c r="Z3" i="2"/>
  <c r="BF3" i="1"/>
  <c r="AY3" i="1"/>
  <c r="AK3" i="1"/>
  <c r="AO3" i="1" s="1"/>
  <c r="AD3" i="1"/>
  <c r="AH3" i="1" s="1"/>
  <c r="W3" i="1"/>
  <c r="AA3" i="1" s="1"/>
  <c r="BF3" i="3"/>
  <c r="AK3" i="3"/>
  <c r="AO3" i="3" s="1"/>
  <c r="AD3" i="3"/>
  <c r="AH3" i="3" s="1"/>
  <c r="W3" i="3"/>
  <c r="AA3" i="3" s="1"/>
  <c r="B3" i="3"/>
  <c r="F3" i="3" s="1"/>
  <c r="BC3" i="1" l="1"/>
  <c r="P3" i="1"/>
  <c r="T3" i="1" s="1"/>
  <c r="I3" i="1"/>
  <c r="M3" i="1" s="1"/>
  <c r="B3" i="1"/>
  <c r="F3" i="1" s="1"/>
  <c r="I3" i="2"/>
  <c r="B3" i="2"/>
  <c r="F3" i="2" s="1"/>
  <c r="AY3" i="3"/>
  <c r="BC3" i="3" s="1"/>
  <c r="P3" i="3"/>
  <c r="T3" i="3" s="1"/>
  <c r="I3" i="3"/>
  <c r="M3" i="3" s="1"/>
</calcChain>
</file>

<file path=xl/sharedStrings.xml><?xml version="1.0" encoding="utf-8"?>
<sst xmlns="http://schemas.openxmlformats.org/spreadsheetml/2006/main" count="212" uniqueCount="27">
  <si>
    <t>Año</t>
  </si>
  <si>
    <t>P99_P100</t>
  </si>
  <si>
    <t>P90_P100</t>
  </si>
  <si>
    <t>Suma total</t>
  </si>
  <si>
    <t>Media</t>
  </si>
  <si>
    <t>P95_P100</t>
  </si>
  <si>
    <t>INGRESO TOTAL</t>
  </si>
  <si>
    <t>% del ingreso total</t>
  </si>
  <si>
    <t>N</t>
  </si>
  <si>
    <t>-</t>
  </si>
  <si>
    <t>INGRESO NACIONAL DISPONIBLE</t>
  </si>
  <si>
    <t>Mediana</t>
  </si>
  <si>
    <t>P1_P50</t>
  </si>
  <si>
    <t>Min</t>
  </si>
  <si>
    <t>Max</t>
  </si>
  <si>
    <t>P80_P90</t>
  </si>
  <si>
    <t>P70_P80</t>
  </si>
  <si>
    <t>P60_P70</t>
  </si>
  <si>
    <t>P50_P60</t>
  </si>
  <si>
    <t xml:space="preserve">Activo </t>
  </si>
  <si>
    <t>Pasivo</t>
  </si>
  <si>
    <t>Patrimonio</t>
  </si>
  <si>
    <t>Grupo</t>
  </si>
  <si>
    <t>Detalle dinero</t>
  </si>
  <si>
    <t>Detalle inmueble</t>
  </si>
  <si>
    <t>Detalle vehículo</t>
  </si>
  <si>
    <t>Detalle inversión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</si>
</sst>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4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0" xfId="0" applyNumberFormat="1" applyFill="1"/>
    <xf numFmtId="4" fontId="0" fillId="2" borderId="0" xfId="0" applyNumberFormat="1" applyFill="1"/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4" fontId="0" fillId="2" borderId="4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4" fontId="0" fillId="2" borderId="3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C4C0-AB0E-44E8-8998-1EF54D8FD680}">
  <dimension ref="A1:BG5"/>
  <sheetViews>
    <sheetView topLeftCell="AU1" zoomScaleNormal="100" workbookViewId="0">
      <selection activeCell="AW19" sqref="AW19"/>
    </sheetView>
  </sheetViews>
  <sheetFormatPr baseColWidth="10" defaultColWidth="11.5" defaultRowHeight="15" x14ac:dyDescent="0.2"/>
  <cols>
    <col min="1" max="1" width="11.5" style="3"/>
    <col min="2" max="2" width="17.33203125" style="3" bestFit="1" customWidth="1"/>
    <col min="3" max="3" width="11.5" style="3"/>
    <col min="4" max="4" width="12.6640625" style="3" bestFit="1" customWidth="1"/>
    <col min="5" max="5" width="12.6640625" style="3" customWidth="1"/>
    <col min="6" max="6" width="15.5" style="3" bestFit="1" customWidth="1"/>
    <col min="7" max="8" width="15.5" style="3" customWidth="1"/>
    <col min="9" max="9" width="16.33203125" style="3" bestFit="1" customWidth="1"/>
    <col min="10" max="10" width="11.5" style="3"/>
    <col min="11" max="11" width="12.6640625" style="3" bestFit="1" customWidth="1"/>
    <col min="12" max="12" width="12.6640625" style="3" customWidth="1"/>
    <col min="13" max="13" width="15.5" style="3" bestFit="1" customWidth="1"/>
    <col min="14" max="15" width="15.5" style="3" customWidth="1"/>
    <col min="16" max="16" width="16.33203125" style="3" bestFit="1" customWidth="1"/>
    <col min="17" max="19" width="11.5" style="3"/>
    <col min="20" max="20" width="15.5" style="3" bestFit="1" customWidth="1"/>
    <col min="21" max="22" width="15.5" style="3" customWidth="1"/>
    <col min="23" max="23" width="16.33203125" style="3" bestFit="1" customWidth="1"/>
    <col min="24" max="29" width="15.5" style="3" customWidth="1"/>
    <col min="30" max="30" width="16.33203125" style="3" bestFit="1" customWidth="1"/>
    <col min="31" max="36" width="15.5" style="3" customWidth="1"/>
    <col min="37" max="37" width="16.33203125" style="3" bestFit="1" customWidth="1"/>
    <col min="38" max="50" width="15.5" style="3" customWidth="1"/>
    <col min="51" max="51" width="15.1640625" style="3" bestFit="1" customWidth="1"/>
    <col min="52" max="54" width="11.5" style="3"/>
    <col min="55" max="55" width="15.5" style="3" bestFit="1" customWidth="1"/>
    <col min="56" max="57" width="15.5" style="3" customWidth="1"/>
    <col min="58" max="58" width="16.33203125" style="3" bestFit="1" customWidth="1"/>
    <col min="59" max="59" width="18.33203125" style="3" customWidth="1"/>
    <col min="60" max="16384" width="11.5" style="3"/>
  </cols>
  <sheetData>
    <row r="1" spans="1:59" x14ac:dyDescent="0.2">
      <c r="A1" s="1" t="s">
        <v>0</v>
      </c>
      <c r="B1" s="24" t="s">
        <v>1</v>
      </c>
      <c r="C1" s="25"/>
      <c r="D1" s="25"/>
      <c r="E1" s="25"/>
      <c r="F1" s="25"/>
      <c r="G1" s="25"/>
      <c r="H1" s="26"/>
      <c r="I1" s="27" t="s">
        <v>5</v>
      </c>
      <c r="J1" s="28"/>
      <c r="K1" s="28"/>
      <c r="L1" s="28"/>
      <c r="M1" s="28"/>
      <c r="N1" s="28"/>
      <c r="O1" s="29"/>
      <c r="P1" s="24" t="s">
        <v>2</v>
      </c>
      <c r="Q1" s="25"/>
      <c r="R1" s="25"/>
      <c r="S1" s="25"/>
      <c r="T1" s="25"/>
      <c r="U1" s="25"/>
      <c r="V1" s="26"/>
      <c r="W1" s="27" t="s">
        <v>15</v>
      </c>
      <c r="X1" s="28"/>
      <c r="Y1" s="28"/>
      <c r="Z1" s="28"/>
      <c r="AA1" s="28"/>
      <c r="AB1" s="28"/>
      <c r="AC1" s="29"/>
      <c r="AD1" s="24" t="s">
        <v>16</v>
      </c>
      <c r="AE1" s="25"/>
      <c r="AF1" s="25"/>
      <c r="AG1" s="25"/>
      <c r="AH1" s="25"/>
      <c r="AI1" s="25"/>
      <c r="AJ1" s="26"/>
      <c r="AK1" s="27" t="s">
        <v>17</v>
      </c>
      <c r="AL1" s="28"/>
      <c r="AM1" s="28"/>
      <c r="AN1" s="28"/>
      <c r="AO1" s="28"/>
      <c r="AP1" s="28"/>
      <c r="AQ1" s="29"/>
      <c r="AR1" s="24" t="s">
        <v>18</v>
      </c>
      <c r="AS1" s="25"/>
      <c r="AT1" s="25"/>
      <c r="AU1" s="25"/>
      <c r="AV1" s="25"/>
      <c r="AW1" s="25"/>
      <c r="AX1" s="26"/>
      <c r="AY1" s="19" t="s">
        <v>12</v>
      </c>
      <c r="AZ1" s="20"/>
      <c r="BA1" s="20"/>
      <c r="BB1" s="20"/>
      <c r="BC1" s="20"/>
      <c r="BD1" s="20"/>
      <c r="BE1" s="21"/>
      <c r="BF1" s="22" t="s">
        <v>6</v>
      </c>
      <c r="BG1" s="22" t="s">
        <v>10</v>
      </c>
    </row>
    <row r="2" spans="1:59" s="1" customFormat="1" x14ac:dyDescent="0.2">
      <c r="A2" s="23">
        <v>2024</v>
      </c>
      <c r="B2" s="2" t="s">
        <v>3</v>
      </c>
      <c r="C2" s="2" t="s">
        <v>4</v>
      </c>
      <c r="D2" s="2" t="s">
        <v>8</v>
      </c>
      <c r="E2" s="2" t="s">
        <v>11</v>
      </c>
      <c r="F2" s="2" t="s">
        <v>7</v>
      </c>
      <c r="G2" s="2" t="s">
        <v>13</v>
      </c>
      <c r="H2" s="2" t="s">
        <v>14</v>
      </c>
      <c r="I2" s="2" t="s">
        <v>3</v>
      </c>
      <c r="J2" s="2" t="s">
        <v>4</v>
      </c>
      <c r="K2" s="2" t="s">
        <v>8</v>
      </c>
      <c r="L2" s="2" t="s">
        <v>11</v>
      </c>
      <c r="M2" s="2" t="s">
        <v>7</v>
      </c>
      <c r="N2" s="2" t="s">
        <v>13</v>
      </c>
      <c r="O2" s="2" t="s">
        <v>14</v>
      </c>
      <c r="P2" s="2" t="s">
        <v>3</v>
      </c>
      <c r="Q2" s="2" t="s">
        <v>4</v>
      </c>
      <c r="R2" s="2" t="s">
        <v>8</v>
      </c>
      <c r="S2" s="2" t="s">
        <v>11</v>
      </c>
      <c r="T2" s="2" t="s">
        <v>7</v>
      </c>
      <c r="U2" s="2" t="s">
        <v>13</v>
      </c>
      <c r="V2" s="2" t="s">
        <v>14</v>
      </c>
      <c r="W2" s="2" t="s">
        <v>3</v>
      </c>
      <c r="X2" s="2" t="s">
        <v>4</v>
      </c>
      <c r="Y2" s="2" t="s">
        <v>8</v>
      </c>
      <c r="Z2" s="2" t="s">
        <v>11</v>
      </c>
      <c r="AA2" s="2" t="s">
        <v>7</v>
      </c>
      <c r="AB2" s="2" t="s">
        <v>13</v>
      </c>
      <c r="AC2" s="2" t="s">
        <v>14</v>
      </c>
      <c r="AD2" s="2" t="s">
        <v>3</v>
      </c>
      <c r="AE2" s="2" t="s">
        <v>4</v>
      </c>
      <c r="AF2" s="2" t="s">
        <v>8</v>
      </c>
      <c r="AG2" s="2" t="s">
        <v>11</v>
      </c>
      <c r="AH2" s="2" t="s">
        <v>7</v>
      </c>
      <c r="AI2" s="2" t="s">
        <v>13</v>
      </c>
      <c r="AJ2" s="2" t="s">
        <v>14</v>
      </c>
      <c r="AK2" s="2" t="s">
        <v>3</v>
      </c>
      <c r="AL2" s="2" t="s">
        <v>4</v>
      </c>
      <c r="AM2" s="2" t="s">
        <v>8</v>
      </c>
      <c r="AN2" s="2" t="s">
        <v>11</v>
      </c>
      <c r="AO2" s="2" t="s">
        <v>7</v>
      </c>
      <c r="AP2" s="2" t="s">
        <v>13</v>
      </c>
      <c r="AQ2" s="2" t="s">
        <v>14</v>
      </c>
      <c r="AR2" s="2" t="s">
        <v>3</v>
      </c>
      <c r="AS2" s="2" t="s">
        <v>4</v>
      </c>
      <c r="AT2" s="2" t="s">
        <v>8</v>
      </c>
      <c r="AU2" s="2" t="s">
        <v>11</v>
      </c>
      <c r="AV2" s="2" t="s">
        <v>7</v>
      </c>
      <c r="AW2" s="2" t="s">
        <v>13</v>
      </c>
      <c r="AX2" s="2" t="s">
        <v>14</v>
      </c>
      <c r="AY2" s="2" t="s">
        <v>3</v>
      </c>
      <c r="AZ2" s="2" t="s">
        <v>4</v>
      </c>
      <c r="BA2" s="2" t="s">
        <v>8</v>
      </c>
      <c r="BB2" s="2" t="s">
        <v>11</v>
      </c>
      <c r="BC2" s="2" t="s">
        <v>7</v>
      </c>
      <c r="BD2" s="2" t="s">
        <v>13</v>
      </c>
      <c r="BE2" s="2" t="s">
        <v>14</v>
      </c>
      <c r="BF2" s="22"/>
      <c r="BG2" s="22"/>
    </row>
    <row r="3" spans="1:59" s="1" customFormat="1" x14ac:dyDescent="0.2">
      <c r="A3" s="23"/>
      <c r="B3" s="4">
        <f>+C3*D3</f>
        <v>27778563488.799999</v>
      </c>
      <c r="C3" s="4">
        <v>695437.7</v>
      </c>
      <c r="D3" s="8">
        <v>39944</v>
      </c>
      <c r="E3" s="4">
        <v>374858.7</v>
      </c>
      <c r="F3" s="5">
        <f>+B3/$BG$3</f>
        <v>0.22280588767578083</v>
      </c>
      <c r="G3" s="4">
        <v>235213.1</v>
      </c>
      <c r="H3" s="4">
        <v>9996428</v>
      </c>
      <c r="I3" s="4">
        <f>+J3*K3</f>
        <v>43744210241.199997</v>
      </c>
      <c r="J3" s="4">
        <v>219024.4</v>
      </c>
      <c r="K3" s="2">
        <v>199723</v>
      </c>
      <c r="L3" s="4">
        <v>99998.86</v>
      </c>
      <c r="M3" s="5">
        <f>+I3/$BG$3</f>
        <v>0.35086290899801975</v>
      </c>
      <c r="N3" s="4">
        <v>52960.14</v>
      </c>
      <c r="O3" s="4">
        <v>9996428</v>
      </c>
      <c r="P3" s="4">
        <f>+Q3*R3</f>
        <v>51421362638.199997</v>
      </c>
      <c r="Q3" s="4">
        <v>128731.7</v>
      </c>
      <c r="R3" s="2">
        <v>399446</v>
      </c>
      <c r="S3" s="4">
        <v>52959.92</v>
      </c>
      <c r="T3" s="5">
        <f>+P3/$BG$3</f>
        <v>0.41243969842867167</v>
      </c>
      <c r="U3" s="4">
        <v>28507.01</v>
      </c>
      <c r="V3" s="4">
        <v>9996428</v>
      </c>
      <c r="W3" s="4">
        <f>+X3*Y3</f>
        <v>8712254633.1300011</v>
      </c>
      <c r="X3" s="4">
        <v>21810.79</v>
      </c>
      <c r="Y3" s="2">
        <v>399447</v>
      </c>
      <c r="Z3" s="4">
        <v>21319.53</v>
      </c>
      <c r="AA3" s="5">
        <f>+W3/$BG$3</f>
        <v>6.9879122006240899E-2</v>
      </c>
      <c r="AB3" s="4">
        <v>16769.3</v>
      </c>
      <c r="AC3" s="4">
        <v>28506.95</v>
      </c>
      <c r="AD3" s="4">
        <f>+AE3*AF3</f>
        <v>6288872322.6999998</v>
      </c>
      <c r="AE3" s="4">
        <v>14567.86</v>
      </c>
      <c r="AF3" s="2">
        <v>431695</v>
      </c>
      <c r="AG3" s="4">
        <v>14402</v>
      </c>
      <c r="AH3" s="5">
        <f>+AD3/$BG$3</f>
        <v>5.0441693318798504E-2</v>
      </c>
      <c r="AI3" s="4">
        <v>12908.81</v>
      </c>
      <c r="AJ3" s="4">
        <v>16769.29</v>
      </c>
      <c r="AK3" s="4">
        <f>+AL3*AM3</f>
        <v>4200142915.2800002</v>
      </c>
      <c r="AL3" s="4">
        <v>11438.36</v>
      </c>
      <c r="AM3" s="2">
        <v>367198</v>
      </c>
      <c r="AN3" s="4">
        <v>11291.4</v>
      </c>
      <c r="AO3" s="5">
        <f>+AK3/$BG$3</f>
        <v>3.3688443644013952E-2</v>
      </c>
      <c r="AP3" s="4">
        <v>10143.42</v>
      </c>
      <c r="AQ3" s="4">
        <v>12908.8</v>
      </c>
      <c r="AR3" s="4">
        <f>+AS3*AT3</f>
        <v>3664494023.3459997</v>
      </c>
      <c r="AS3" s="4">
        <v>9173.9179999999997</v>
      </c>
      <c r="AT3" s="2">
        <v>399447</v>
      </c>
      <c r="AU3" s="4">
        <v>9141.7289999999994</v>
      </c>
      <c r="AV3" s="5">
        <f>+AR3/$BG$3</f>
        <v>2.9392119001523991E-2</v>
      </c>
      <c r="AW3" s="4">
        <v>8133.78</v>
      </c>
      <c r="AX3" s="4">
        <v>10321.76</v>
      </c>
      <c r="AY3" s="4">
        <f>+BA3*AZ3</f>
        <v>7359565934.2729998</v>
      </c>
      <c r="AZ3" s="4">
        <v>3684.8809999999999</v>
      </c>
      <c r="BA3" s="2">
        <v>1997233</v>
      </c>
      <c r="BB3" s="4">
        <v>3563.6</v>
      </c>
      <c r="BC3" s="5">
        <f>+AY3/$BG$3</f>
        <v>5.9029496667646744E-2</v>
      </c>
      <c r="BD3" s="4">
        <v>0</v>
      </c>
      <c r="BE3" s="4">
        <v>8133.78</v>
      </c>
      <c r="BF3" s="4">
        <f>3994465*20439.96</f>
        <v>81646704821.399994</v>
      </c>
      <c r="BG3" s="4">
        <v>124676074670.084</v>
      </c>
    </row>
    <row r="4" spans="1:59" x14ac:dyDescent="0.2">
      <c r="BC4" s="6"/>
      <c r="BD4" s="6"/>
      <c r="BE4" s="6"/>
    </row>
    <row r="5" spans="1:59" x14ac:dyDescent="0.2">
      <c r="BF5" s="7"/>
    </row>
  </sheetData>
  <mergeCells count="11">
    <mergeCell ref="AY1:BE1"/>
    <mergeCell ref="BG1:BG2"/>
    <mergeCell ref="BF1:BF2"/>
    <mergeCell ref="A2:A3"/>
    <mergeCell ref="B1:H1"/>
    <mergeCell ref="I1:O1"/>
    <mergeCell ref="P1:V1"/>
    <mergeCell ref="W1:AC1"/>
    <mergeCell ref="AD1:AJ1"/>
    <mergeCell ref="AK1:AQ1"/>
    <mergeCell ref="AR1:A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2D19-4B5D-4EE3-83E0-DCD36CE245C5}">
  <dimension ref="A1:BG3"/>
  <sheetViews>
    <sheetView workbookViewId="0">
      <selection activeCell="F13" sqref="F13"/>
    </sheetView>
  </sheetViews>
  <sheetFormatPr baseColWidth="10" defaultColWidth="11.5" defaultRowHeight="15" x14ac:dyDescent="0.2"/>
  <cols>
    <col min="1" max="1" width="11.5" style="3"/>
    <col min="2" max="2" width="20.83203125" style="3" bestFit="1" customWidth="1"/>
    <col min="3" max="3" width="11.5" style="3"/>
    <col min="4" max="4" width="12.6640625" style="3" bestFit="1" customWidth="1"/>
    <col min="5" max="5" width="18.33203125" style="3" customWidth="1"/>
    <col min="6" max="6" width="15.5" style="3" bestFit="1" customWidth="1"/>
    <col min="7" max="8" width="15.5" style="3" customWidth="1"/>
    <col min="9" max="9" width="16.33203125" style="3" bestFit="1" customWidth="1"/>
    <col min="10" max="10" width="11.5" style="3"/>
    <col min="11" max="11" width="12.6640625" style="3" bestFit="1" customWidth="1"/>
    <col min="12" max="12" width="12.6640625" style="3" customWidth="1"/>
    <col min="13" max="13" width="15.5" style="3" bestFit="1" customWidth="1"/>
    <col min="14" max="15" width="15.5" style="3" customWidth="1"/>
    <col min="16" max="16" width="16.33203125" style="3" bestFit="1" customWidth="1"/>
    <col min="17" max="17" width="11.5" style="3"/>
    <col min="18" max="18" width="12.1640625" style="3" bestFit="1" customWidth="1"/>
    <col min="19" max="19" width="11.5" style="3"/>
    <col min="20" max="20" width="15.5" style="3" bestFit="1" customWidth="1"/>
    <col min="21" max="22" width="15.5" style="3" customWidth="1"/>
    <col min="23" max="23" width="16.33203125" style="3" bestFit="1" customWidth="1"/>
    <col min="24" max="29" width="15.5" style="3" customWidth="1"/>
    <col min="30" max="30" width="16.33203125" style="3" bestFit="1" customWidth="1"/>
    <col min="31" max="36" width="15.5" style="3" customWidth="1"/>
    <col min="37" max="37" width="16.33203125" style="3" bestFit="1" customWidth="1"/>
    <col min="38" max="50" width="15.5" style="3" customWidth="1"/>
    <col min="51" max="51" width="15.1640625" style="3" bestFit="1" customWidth="1"/>
    <col min="52" max="54" width="11.5" style="3"/>
    <col min="55" max="55" width="15.5" style="3" bestFit="1" customWidth="1"/>
    <col min="56" max="57" width="15.5" style="3" customWidth="1"/>
    <col min="58" max="58" width="16.33203125" style="3" bestFit="1" customWidth="1"/>
    <col min="59" max="59" width="28.1640625" style="3" bestFit="1" customWidth="1"/>
    <col min="60" max="16384" width="11.5" style="3"/>
  </cols>
  <sheetData>
    <row r="1" spans="1:59" x14ac:dyDescent="0.2">
      <c r="A1" s="1" t="s">
        <v>0</v>
      </c>
      <c r="B1" s="24" t="s">
        <v>1</v>
      </c>
      <c r="C1" s="25"/>
      <c r="D1" s="25"/>
      <c r="E1" s="25"/>
      <c r="F1" s="25"/>
      <c r="G1" s="25"/>
      <c r="H1" s="26"/>
      <c r="I1" s="27" t="s">
        <v>5</v>
      </c>
      <c r="J1" s="28"/>
      <c r="K1" s="28"/>
      <c r="L1" s="28"/>
      <c r="M1" s="28"/>
      <c r="N1" s="28"/>
      <c r="O1" s="29"/>
      <c r="P1" s="24" t="s">
        <v>2</v>
      </c>
      <c r="Q1" s="25"/>
      <c r="R1" s="25"/>
      <c r="S1" s="25"/>
      <c r="T1" s="25"/>
      <c r="U1" s="25"/>
      <c r="V1" s="26"/>
      <c r="W1" s="27" t="s">
        <v>15</v>
      </c>
      <c r="X1" s="28"/>
      <c r="Y1" s="28"/>
      <c r="Z1" s="28"/>
      <c r="AA1" s="28"/>
      <c r="AB1" s="28"/>
      <c r="AC1" s="29"/>
      <c r="AD1" s="24" t="s">
        <v>16</v>
      </c>
      <c r="AE1" s="25"/>
      <c r="AF1" s="25"/>
      <c r="AG1" s="25"/>
      <c r="AH1" s="25"/>
      <c r="AI1" s="25"/>
      <c r="AJ1" s="26"/>
      <c r="AK1" s="27" t="s">
        <v>17</v>
      </c>
      <c r="AL1" s="28"/>
      <c r="AM1" s="28"/>
      <c r="AN1" s="28"/>
      <c r="AO1" s="28"/>
      <c r="AP1" s="28"/>
      <c r="AQ1" s="29"/>
      <c r="AR1" s="24" t="s">
        <v>18</v>
      </c>
      <c r="AS1" s="25"/>
      <c r="AT1" s="25"/>
      <c r="AU1" s="25"/>
      <c r="AV1" s="25"/>
      <c r="AW1" s="25"/>
      <c r="AX1" s="26"/>
      <c r="AY1" s="19" t="s">
        <v>12</v>
      </c>
      <c r="AZ1" s="20"/>
      <c r="BA1" s="20"/>
      <c r="BB1" s="20"/>
      <c r="BC1" s="20"/>
      <c r="BD1" s="20"/>
      <c r="BE1" s="21"/>
      <c r="BF1" s="22" t="s">
        <v>6</v>
      </c>
      <c r="BG1" s="22" t="s">
        <v>10</v>
      </c>
    </row>
    <row r="2" spans="1:59" s="1" customFormat="1" x14ac:dyDescent="0.2">
      <c r="A2" s="23">
        <v>2024</v>
      </c>
      <c r="B2" s="2" t="s">
        <v>3</v>
      </c>
      <c r="C2" s="2" t="s">
        <v>4</v>
      </c>
      <c r="D2" s="2" t="s">
        <v>8</v>
      </c>
      <c r="E2" s="2" t="s">
        <v>11</v>
      </c>
      <c r="F2" s="2" t="s">
        <v>7</v>
      </c>
      <c r="G2" s="2" t="s">
        <v>13</v>
      </c>
      <c r="H2" s="2" t="s">
        <v>14</v>
      </c>
      <c r="I2" s="2" t="s">
        <v>3</v>
      </c>
      <c r="J2" s="2" t="s">
        <v>4</v>
      </c>
      <c r="K2" s="2" t="s">
        <v>8</v>
      </c>
      <c r="L2" s="2" t="s">
        <v>11</v>
      </c>
      <c r="M2" s="2" t="s">
        <v>7</v>
      </c>
      <c r="N2" s="2" t="s">
        <v>13</v>
      </c>
      <c r="O2" s="2" t="s">
        <v>14</v>
      </c>
      <c r="P2" s="2" t="s">
        <v>3</v>
      </c>
      <c r="Q2" s="2" t="s">
        <v>4</v>
      </c>
      <c r="R2" s="2" t="s">
        <v>8</v>
      </c>
      <c r="S2" s="2" t="s">
        <v>11</v>
      </c>
      <c r="T2" s="2" t="s">
        <v>7</v>
      </c>
      <c r="U2" s="2" t="s">
        <v>13</v>
      </c>
      <c r="V2" s="2" t="s">
        <v>14</v>
      </c>
      <c r="W2" s="2" t="s">
        <v>3</v>
      </c>
      <c r="X2" s="2" t="s">
        <v>4</v>
      </c>
      <c r="Y2" s="2" t="s">
        <v>8</v>
      </c>
      <c r="Z2" s="2" t="s">
        <v>11</v>
      </c>
      <c r="AA2" s="2" t="s">
        <v>7</v>
      </c>
      <c r="AB2" s="2" t="s">
        <v>13</v>
      </c>
      <c r="AC2" s="2" t="s">
        <v>14</v>
      </c>
      <c r="AD2" s="2" t="s">
        <v>3</v>
      </c>
      <c r="AE2" s="2" t="s">
        <v>4</v>
      </c>
      <c r="AF2" s="2" t="s">
        <v>8</v>
      </c>
      <c r="AG2" s="2" t="s">
        <v>11</v>
      </c>
      <c r="AH2" s="2" t="s">
        <v>7</v>
      </c>
      <c r="AI2" s="2" t="s">
        <v>13</v>
      </c>
      <c r="AJ2" s="2" t="s">
        <v>14</v>
      </c>
      <c r="AK2" s="2" t="s">
        <v>3</v>
      </c>
      <c r="AL2" s="2" t="s">
        <v>4</v>
      </c>
      <c r="AM2" s="2" t="s">
        <v>8</v>
      </c>
      <c r="AN2" s="2" t="s">
        <v>11</v>
      </c>
      <c r="AO2" s="2" t="s">
        <v>7</v>
      </c>
      <c r="AP2" s="2" t="s">
        <v>13</v>
      </c>
      <c r="AQ2" s="2" t="s">
        <v>14</v>
      </c>
      <c r="AR2" s="2" t="s">
        <v>3</v>
      </c>
      <c r="AS2" s="2" t="s">
        <v>4</v>
      </c>
      <c r="AT2" s="2" t="s">
        <v>8</v>
      </c>
      <c r="AU2" s="2" t="s">
        <v>11</v>
      </c>
      <c r="AV2" s="2" t="s">
        <v>7</v>
      </c>
      <c r="AW2" s="2" t="s">
        <v>13</v>
      </c>
      <c r="AX2" s="2" t="s">
        <v>14</v>
      </c>
      <c r="AY2" s="2" t="s">
        <v>3</v>
      </c>
      <c r="AZ2" s="2" t="s">
        <v>4</v>
      </c>
      <c r="BA2" s="2" t="s">
        <v>8</v>
      </c>
      <c r="BB2" s="2" t="s">
        <v>11</v>
      </c>
      <c r="BC2" s="2" t="s">
        <v>7</v>
      </c>
      <c r="BD2" s="2" t="s">
        <v>13</v>
      </c>
      <c r="BE2" s="2" t="s">
        <v>14</v>
      </c>
      <c r="BF2" s="22"/>
      <c r="BG2" s="22"/>
    </row>
    <row r="3" spans="1:59" s="1" customFormat="1" x14ac:dyDescent="0.2">
      <c r="A3" s="23"/>
      <c r="B3" s="4">
        <f>+C3*D3</f>
        <v>27134562546</v>
      </c>
      <c r="C3" s="4">
        <v>682115.7</v>
      </c>
      <c r="D3" s="8">
        <v>39780</v>
      </c>
      <c r="E3" s="4">
        <v>367451.5</v>
      </c>
      <c r="F3" s="5">
        <f>+B3/$BG$3</f>
        <v>0.21764049451992359</v>
      </c>
      <c r="G3" s="4">
        <v>215358.1</v>
      </c>
      <c r="H3" s="4">
        <v>9996428</v>
      </c>
      <c r="I3" s="4">
        <f>+J3*K3</f>
        <v>42149564868</v>
      </c>
      <c r="J3" s="4">
        <v>211207.2</v>
      </c>
      <c r="K3" s="8">
        <v>199565</v>
      </c>
      <c r="L3" s="4">
        <v>94509.11</v>
      </c>
      <c r="M3" s="5">
        <f>+I3/$BG$3</f>
        <v>0.33807260117496929</v>
      </c>
      <c r="N3" s="4">
        <v>50807.07</v>
      </c>
      <c r="O3" s="4">
        <v>9996428</v>
      </c>
      <c r="P3" s="4">
        <f>+Q3*R3</f>
        <v>49566321445.399994</v>
      </c>
      <c r="Q3" s="4">
        <v>124123.4</v>
      </c>
      <c r="R3" s="8">
        <v>399331</v>
      </c>
      <c r="S3" s="4">
        <v>50780.59</v>
      </c>
      <c r="T3" s="5">
        <f>+P3/$BG$3</f>
        <v>0.39756081169993251</v>
      </c>
      <c r="U3" s="4">
        <v>28507.01</v>
      </c>
      <c r="V3" s="4">
        <v>9996428</v>
      </c>
      <c r="W3" s="4">
        <f>+X3*Y3</f>
        <v>8506696658.6999998</v>
      </c>
      <c r="X3" s="4">
        <v>21297.09</v>
      </c>
      <c r="Y3" s="8">
        <v>399430</v>
      </c>
      <c r="Z3" s="4">
        <v>20784.830000000002</v>
      </c>
      <c r="AA3" s="5">
        <f>+W3/$BG$3</f>
        <v>6.8230385671110477E-2</v>
      </c>
      <c r="AB3" s="4">
        <v>16769.3</v>
      </c>
      <c r="AC3" s="4">
        <v>28506.95</v>
      </c>
      <c r="AD3" s="4">
        <f>+AE3*AF3</f>
        <v>5911521880.3199997</v>
      </c>
      <c r="AE3" s="4">
        <v>14444.84</v>
      </c>
      <c r="AF3" s="8">
        <v>409248</v>
      </c>
      <c r="AG3" s="4">
        <v>14289.12</v>
      </c>
      <c r="AH3" s="5">
        <f>+AD3/$BG$3</f>
        <v>4.7415046519253851E-2</v>
      </c>
      <c r="AI3" s="4">
        <v>12908.81</v>
      </c>
      <c r="AJ3" s="4">
        <v>16769.29</v>
      </c>
      <c r="AK3" s="4">
        <f>+AL3*AM3</f>
        <v>4427958202.5500002</v>
      </c>
      <c r="AL3" s="4">
        <v>11363.15</v>
      </c>
      <c r="AM3" s="8">
        <v>389677</v>
      </c>
      <c r="AN3" s="4">
        <v>11174.99</v>
      </c>
      <c r="AO3" s="5">
        <f>+AK3/$BG$3</f>
        <v>3.5515701101973239E-2</v>
      </c>
      <c r="AP3" s="4">
        <v>10143.42</v>
      </c>
      <c r="AQ3" s="4">
        <v>12908.8</v>
      </c>
      <c r="AR3" s="4">
        <f>+AS3*AT3</f>
        <v>3611789814.9700003</v>
      </c>
      <c r="AS3" s="4">
        <v>9041.5450000000001</v>
      </c>
      <c r="AT3" s="8">
        <v>399466</v>
      </c>
      <c r="AU3" s="4">
        <v>8997.2199999999993</v>
      </c>
      <c r="AV3" s="5">
        <f>+AR3/$BG$3</f>
        <v>2.8969389873136971E-2</v>
      </c>
      <c r="AW3" s="4">
        <v>8026.91</v>
      </c>
      <c r="AX3" s="4">
        <v>10143.42</v>
      </c>
      <c r="AY3" s="4">
        <f>+BA3*AZ3</f>
        <v>7130745679.8240004</v>
      </c>
      <c r="AZ3" s="4">
        <v>3570.1640000000002</v>
      </c>
      <c r="BA3" s="8">
        <v>1997316</v>
      </c>
      <c r="BB3" s="4">
        <v>3391.26</v>
      </c>
      <c r="BC3" s="5">
        <f>+AY3/$BG$3</f>
        <v>5.7194178583928591E-2</v>
      </c>
      <c r="BD3" s="4">
        <v>0</v>
      </c>
      <c r="BE3" s="4">
        <v>8026.91</v>
      </c>
      <c r="BF3" s="4">
        <f>3994465*19816.17</f>
        <v>79154997499.049988</v>
      </c>
      <c r="BG3" s="4">
        <v>124676074670.084</v>
      </c>
    </row>
  </sheetData>
  <mergeCells count="11">
    <mergeCell ref="AY1:BE1"/>
    <mergeCell ref="BF1:BF2"/>
    <mergeCell ref="BG1:BG2"/>
    <mergeCell ref="A2:A3"/>
    <mergeCell ref="B1:H1"/>
    <mergeCell ref="I1:O1"/>
    <mergeCell ref="P1:V1"/>
    <mergeCell ref="W1:AC1"/>
    <mergeCell ref="AD1:AJ1"/>
    <mergeCell ref="AK1:AQ1"/>
    <mergeCell ref="AR1:A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FE1F-5285-4269-9E61-994209557887}">
  <dimension ref="A1:AA4"/>
  <sheetViews>
    <sheetView workbookViewId="0">
      <selection activeCell="D10" sqref="D10"/>
    </sheetView>
  </sheetViews>
  <sheetFormatPr baseColWidth="10" defaultColWidth="11.5" defaultRowHeight="15" x14ac:dyDescent="0.2"/>
  <cols>
    <col min="1" max="1" width="11.5" style="3"/>
    <col min="2" max="2" width="15.1640625" style="3" bestFit="1" customWidth="1"/>
    <col min="3" max="3" width="11.5" style="3"/>
    <col min="4" max="4" width="12.6640625" style="3" bestFit="1" customWidth="1"/>
    <col min="5" max="5" width="12.6640625" style="3" customWidth="1"/>
    <col min="6" max="6" width="15.5" style="3" bestFit="1" customWidth="1"/>
    <col min="7" max="8" width="15.5" style="3" customWidth="1"/>
    <col min="9" max="9" width="15.1640625" style="3" bestFit="1" customWidth="1"/>
    <col min="10" max="10" width="11.5" style="3"/>
    <col min="11" max="11" width="12.6640625" style="3" bestFit="1" customWidth="1"/>
    <col min="12" max="12" width="12.6640625" style="3" customWidth="1"/>
    <col min="13" max="13" width="15.5" style="3" bestFit="1" customWidth="1"/>
    <col min="14" max="15" width="15.5" style="3" customWidth="1"/>
    <col min="16" max="16" width="16.33203125" style="3" bestFit="1" customWidth="1"/>
    <col min="17" max="19" width="11.5" style="3"/>
    <col min="20" max="20" width="15.5" style="3" bestFit="1" customWidth="1"/>
    <col min="21" max="21" width="15.1640625" style="3" bestFit="1" customWidth="1"/>
    <col min="22" max="24" width="11.5" style="3"/>
    <col min="25" max="25" width="15.5" style="3" bestFit="1" customWidth="1"/>
    <col min="26" max="26" width="16.33203125" style="3" bestFit="1" customWidth="1"/>
    <col min="27" max="27" width="28.1640625" style="3" bestFit="1" customWidth="1"/>
    <col min="28" max="16384" width="11.5" style="3"/>
  </cols>
  <sheetData>
    <row r="1" spans="1:27" x14ac:dyDescent="0.2">
      <c r="A1" s="1" t="s">
        <v>0</v>
      </c>
      <c r="B1" s="24" t="s">
        <v>1</v>
      </c>
      <c r="C1" s="25"/>
      <c r="D1" s="25"/>
      <c r="E1" s="25"/>
      <c r="F1" s="25"/>
      <c r="G1" s="25"/>
      <c r="H1" s="26"/>
      <c r="I1" s="27" t="s">
        <v>5</v>
      </c>
      <c r="J1" s="28"/>
      <c r="K1" s="28"/>
      <c r="L1" s="28"/>
      <c r="M1" s="28"/>
      <c r="N1" s="28"/>
      <c r="O1" s="29"/>
      <c r="P1" s="30" t="s">
        <v>2</v>
      </c>
      <c r="Q1" s="30"/>
      <c r="R1" s="30"/>
      <c r="S1" s="30"/>
      <c r="T1" s="30"/>
      <c r="U1" s="30" t="s">
        <v>12</v>
      </c>
      <c r="V1" s="30"/>
      <c r="W1" s="30"/>
      <c r="X1" s="30"/>
      <c r="Y1" s="30"/>
      <c r="Z1" s="22" t="s">
        <v>6</v>
      </c>
      <c r="AA1" s="22" t="s">
        <v>10</v>
      </c>
    </row>
    <row r="2" spans="1:27" s="1" customFormat="1" x14ac:dyDescent="0.2">
      <c r="A2" s="23">
        <v>2024</v>
      </c>
      <c r="B2" s="2" t="s">
        <v>3</v>
      </c>
      <c r="C2" s="2" t="s">
        <v>4</v>
      </c>
      <c r="D2" s="2" t="s">
        <v>8</v>
      </c>
      <c r="E2" s="2" t="s">
        <v>11</v>
      </c>
      <c r="F2" s="2" t="s">
        <v>7</v>
      </c>
      <c r="G2" s="2" t="s">
        <v>13</v>
      </c>
      <c r="H2" s="2" t="s">
        <v>14</v>
      </c>
      <c r="I2" s="2" t="s">
        <v>3</v>
      </c>
      <c r="J2" s="2" t="s">
        <v>4</v>
      </c>
      <c r="K2" s="2" t="s">
        <v>8</v>
      </c>
      <c r="L2" s="2" t="s">
        <v>11</v>
      </c>
      <c r="M2" s="2" t="s">
        <v>7</v>
      </c>
      <c r="N2" s="2" t="s">
        <v>13</v>
      </c>
      <c r="O2" s="2" t="s">
        <v>14</v>
      </c>
      <c r="P2" s="2" t="s">
        <v>3</v>
      </c>
      <c r="Q2" s="2" t="s">
        <v>4</v>
      </c>
      <c r="R2" s="2" t="s">
        <v>8</v>
      </c>
      <c r="S2" s="2" t="s">
        <v>11</v>
      </c>
      <c r="T2" s="2" t="s">
        <v>7</v>
      </c>
      <c r="U2" s="2" t="s">
        <v>3</v>
      </c>
      <c r="V2" s="2" t="s">
        <v>4</v>
      </c>
      <c r="W2" s="2" t="s">
        <v>8</v>
      </c>
      <c r="X2" s="2" t="s">
        <v>11</v>
      </c>
      <c r="Y2" s="2" t="s">
        <v>7</v>
      </c>
      <c r="Z2" s="22"/>
      <c r="AA2" s="22"/>
    </row>
    <row r="3" spans="1:27" s="1" customFormat="1" x14ac:dyDescent="0.2">
      <c r="A3" s="23"/>
      <c r="B3" s="4">
        <f>+C3*D3</f>
        <v>2327688621.2999997</v>
      </c>
      <c r="C3" s="4">
        <v>58272.34</v>
      </c>
      <c r="D3" s="2">
        <v>39945</v>
      </c>
      <c r="E3" s="4">
        <v>18000</v>
      </c>
      <c r="F3" s="5">
        <f>+B3/$AA$3</f>
        <v>1.8669890173070455E-2</v>
      </c>
      <c r="G3" s="4">
        <v>6549.95</v>
      </c>
      <c r="H3" s="4">
        <v>9895776</v>
      </c>
      <c r="I3" s="4">
        <f>+J3*K3</f>
        <v>2490484215.6799998</v>
      </c>
      <c r="J3" s="4">
        <v>12468.88</v>
      </c>
      <c r="K3" s="2">
        <v>199736</v>
      </c>
      <c r="L3" s="2">
        <v>646.26499999999999</v>
      </c>
      <c r="M3" s="5">
        <f>+I3/$AA$3</f>
        <v>1.9975638648155089E-2</v>
      </c>
      <c r="N3" s="4">
        <v>43.5</v>
      </c>
      <c r="O3" s="4">
        <v>9895776</v>
      </c>
      <c r="P3" s="4" t="s">
        <v>9</v>
      </c>
      <c r="Q3" s="4" t="s">
        <v>9</v>
      </c>
      <c r="R3" s="2" t="s">
        <v>9</v>
      </c>
      <c r="S3" s="2"/>
      <c r="T3" s="5" t="s">
        <v>9</v>
      </c>
      <c r="U3" s="4" t="s">
        <v>9</v>
      </c>
      <c r="V3" s="4" t="s">
        <v>9</v>
      </c>
      <c r="W3" s="2" t="s">
        <v>9</v>
      </c>
      <c r="X3" s="2"/>
      <c r="Y3" s="5" t="s">
        <v>9</v>
      </c>
      <c r="Z3" s="4">
        <f>623.7886*3994465</f>
        <v>2491701730.099</v>
      </c>
      <c r="AA3" s="4">
        <v>124676074670.084</v>
      </c>
    </row>
    <row r="4" spans="1:27" x14ac:dyDescent="0.2">
      <c r="Y4" s="6"/>
    </row>
  </sheetData>
  <mergeCells count="7">
    <mergeCell ref="Z1:Z2"/>
    <mergeCell ref="AA1:AA2"/>
    <mergeCell ref="A2:A3"/>
    <mergeCell ref="P1:T1"/>
    <mergeCell ref="U1:Y1"/>
    <mergeCell ref="I1:O1"/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5DF5-E9C9-43FE-B426-FEAE010247B5}">
  <dimension ref="A1:AG111"/>
  <sheetViews>
    <sheetView tabSelected="1" workbookViewId="0">
      <selection activeCell="F18" sqref="F18"/>
    </sheetView>
  </sheetViews>
  <sheetFormatPr baseColWidth="10" defaultRowHeight="15" x14ac:dyDescent="0.2"/>
  <cols>
    <col min="2" max="2" width="14.5" bestFit="1" customWidth="1"/>
    <col min="3" max="3" width="16.33203125" bestFit="1" customWidth="1"/>
    <col min="4" max="4" width="12.6640625" bestFit="1" customWidth="1"/>
    <col min="6" max="6" width="15.5" bestFit="1" customWidth="1"/>
    <col min="7" max="7" width="12.6640625" bestFit="1" customWidth="1"/>
    <col min="8" max="8" width="13.6640625" bestFit="1" customWidth="1"/>
    <col min="9" max="9" width="1.83203125" customWidth="1"/>
    <col min="10" max="10" width="16.33203125" bestFit="1" customWidth="1"/>
    <col min="11" max="11" width="12.6640625" bestFit="1" customWidth="1"/>
    <col min="13" max="13" width="15.5" bestFit="1" customWidth="1"/>
    <col min="15" max="15" width="13.6640625" bestFit="1" customWidth="1"/>
    <col min="16" max="16" width="2.5" customWidth="1"/>
    <col min="17" max="17" width="16.33203125" bestFit="1" customWidth="1"/>
    <col min="20" max="20" width="15.5" bestFit="1" customWidth="1"/>
    <col min="22" max="22" width="13.6640625" bestFit="1" customWidth="1"/>
    <col min="23" max="23" width="3.1640625" customWidth="1"/>
    <col min="24" max="24" width="15.1640625" bestFit="1" customWidth="1"/>
    <col min="27" max="27" width="15.5" bestFit="1" customWidth="1"/>
    <col min="28" max="28" width="13.33203125" bestFit="1" customWidth="1"/>
    <col min="29" max="29" width="12.6640625" bestFit="1" customWidth="1"/>
    <col min="30" max="30" width="16.33203125" bestFit="1" customWidth="1"/>
    <col min="31" max="31" width="28.1640625" bestFit="1" customWidth="1"/>
    <col min="32" max="33" width="11.5" style="3"/>
  </cols>
  <sheetData>
    <row r="1" spans="1:31" x14ac:dyDescent="0.2">
      <c r="A1" s="33" t="s">
        <v>1</v>
      </c>
      <c r="B1" s="33"/>
      <c r="C1" s="33"/>
      <c r="D1" s="33"/>
      <c r="E1" s="33"/>
      <c r="F1" s="33"/>
      <c r="G1" s="33"/>
      <c r="H1" s="33"/>
      <c r="I1" s="12"/>
      <c r="J1" s="34" t="s">
        <v>5</v>
      </c>
      <c r="K1" s="34"/>
      <c r="L1" s="34"/>
      <c r="M1" s="34"/>
      <c r="N1" s="34"/>
      <c r="O1" s="34"/>
      <c r="P1" s="10"/>
      <c r="Q1" s="35" t="s">
        <v>2</v>
      </c>
      <c r="R1" s="36"/>
      <c r="S1" s="36"/>
      <c r="T1" s="36"/>
      <c r="U1" s="36"/>
      <c r="V1" s="37"/>
      <c r="W1" s="12"/>
      <c r="X1" s="19" t="s">
        <v>12</v>
      </c>
      <c r="Y1" s="20"/>
      <c r="Z1" s="20"/>
      <c r="AA1" s="20"/>
      <c r="AB1" s="20"/>
      <c r="AC1" s="21"/>
      <c r="AD1" s="31" t="s">
        <v>6</v>
      </c>
      <c r="AE1" s="31" t="s">
        <v>10</v>
      </c>
    </row>
    <row r="2" spans="1:31" x14ac:dyDescent="0.2">
      <c r="A2" s="9" t="s">
        <v>0</v>
      </c>
      <c r="B2" s="9" t="s">
        <v>22</v>
      </c>
      <c r="C2" s="2" t="s">
        <v>3</v>
      </c>
      <c r="D2" s="2" t="s">
        <v>4</v>
      </c>
      <c r="E2" s="2" t="s">
        <v>8</v>
      </c>
      <c r="F2" s="2" t="s">
        <v>7</v>
      </c>
      <c r="G2" s="2" t="s">
        <v>13</v>
      </c>
      <c r="H2" s="2" t="s">
        <v>14</v>
      </c>
      <c r="I2" s="11"/>
      <c r="J2" s="2" t="s">
        <v>3</v>
      </c>
      <c r="K2" s="2" t="s">
        <v>4</v>
      </c>
      <c r="L2" s="2" t="s">
        <v>8</v>
      </c>
      <c r="M2" s="2" t="s">
        <v>7</v>
      </c>
      <c r="N2" s="2" t="s">
        <v>13</v>
      </c>
      <c r="O2" s="2" t="s">
        <v>14</v>
      </c>
      <c r="P2" s="11"/>
      <c r="Q2" s="2" t="s">
        <v>3</v>
      </c>
      <c r="R2" s="2" t="s">
        <v>4</v>
      </c>
      <c r="S2" s="2" t="s">
        <v>8</v>
      </c>
      <c r="T2" s="2" t="s">
        <v>7</v>
      </c>
      <c r="U2" s="2" t="s">
        <v>13</v>
      </c>
      <c r="V2" s="2" t="s">
        <v>14</v>
      </c>
      <c r="W2" s="11"/>
      <c r="X2" s="2" t="s">
        <v>3</v>
      </c>
      <c r="Y2" s="2" t="s">
        <v>4</v>
      </c>
      <c r="Z2" s="2" t="s">
        <v>8</v>
      </c>
      <c r="AA2" s="2" t="s">
        <v>7</v>
      </c>
      <c r="AB2" s="2" t="s">
        <v>13</v>
      </c>
      <c r="AC2" s="2" t="s">
        <v>14</v>
      </c>
      <c r="AD2" s="32"/>
      <c r="AE2" s="31"/>
    </row>
    <row r="3" spans="1:31" s="3" customFormat="1" x14ac:dyDescent="0.2">
      <c r="A3" s="23">
        <v>2010</v>
      </c>
      <c r="B3" s="13" t="s">
        <v>19</v>
      </c>
      <c r="C3" s="4">
        <f t="shared" ref="C3:C8" si="0">+D3*E3</f>
        <v>3220553010</v>
      </c>
      <c r="D3" s="4">
        <v>16950279</v>
      </c>
      <c r="E3" s="8">
        <v>190</v>
      </c>
      <c r="F3" s="5">
        <f t="shared" ref="F3:F9" si="1">+C3/$AE$3</f>
        <v>2.5831363543664495E-2</v>
      </c>
      <c r="G3" s="4">
        <v>2725562</v>
      </c>
      <c r="H3" s="4">
        <v>153653231</v>
      </c>
      <c r="I3" s="16"/>
      <c r="J3" s="4">
        <f t="shared" ref="J3:J9" si="2">+K3*L3</f>
        <v>6517370682</v>
      </c>
      <c r="K3" s="4">
        <v>6838794</v>
      </c>
      <c r="L3" s="2">
        <v>953</v>
      </c>
      <c r="M3" s="5">
        <f t="shared" ref="M3:M9" si="3">+J3/$AE$3</f>
        <v>5.2274429550707067E-2</v>
      </c>
      <c r="N3" s="4">
        <v>1777185</v>
      </c>
      <c r="O3" s="4">
        <v>153653230.84999999</v>
      </c>
      <c r="P3" s="16"/>
      <c r="Q3" s="4">
        <f t="shared" ref="Q3:Q9" si="4">+R3*S3</f>
        <v>8623310958.7600002</v>
      </c>
      <c r="R3" s="4">
        <v>4524297.46</v>
      </c>
      <c r="S3" s="2">
        <v>1906</v>
      </c>
      <c r="T3" s="5">
        <f t="shared" ref="T3:T9" si="5">+Q3/$AE$3</f>
        <v>6.9165723909570292E-2</v>
      </c>
      <c r="U3" s="4">
        <v>1050700</v>
      </c>
      <c r="V3" s="4">
        <v>153653230.84999999</v>
      </c>
      <c r="W3" s="16"/>
      <c r="X3" s="4">
        <f t="shared" ref="X3:X9" si="6">+Z3*Y3</f>
        <v>4076246196.4500003</v>
      </c>
      <c r="Y3" s="4">
        <v>427682.95</v>
      </c>
      <c r="Z3" s="2">
        <v>9531</v>
      </c>
      <c r="AA3" s="5">
        <f t="shared" ref="AA3:AA9" si="7">+X3/$AE$3</f>
        <v>3.2694694689710944E-2</v>
      </c>
      <c r="AB3" s="4">
        <v>0</v>
      </c>
      <c r="AC3" s="4">
        <v>10814564.380000001</v>
      </c>
      <c r="AD3" s="14">
        <f>3994465*20439.96</f>
        <v>81646704821.399994</v>
      </c>
      <c r="AE3" s="4">
        <v>124676074670.084</v>
      </c>
    </row>
    <row r="4" spans="1:31" s="3" customFormat="1" x14ac:dyDescent="0.2">
      <c r="A4" s="23"/>
      <c r="B4" s="17" t="s">
        <v>20</v>
      </c>
      <c r="C4" s="4">
        <f t="shared" si="0"/>
        <v>124804730</v>
      </c>
      <c r="D4" s="4">
        <v>656867</v>
      </c>
      <c r="E4" s="8">
        <v>190</v>
      </c>
      <c r="F4" s="5">
        <f t="shared" si="1"/>
        <v>1.0010319167511204E-3</v>
      </c>
      <c r="G4" s="4">
        <v>0</v>
      </c>
      <c r="H4" s="4">
        <v>16351992</v>
      </c>
      <c r="I4" s="15"/>
      <c r="J4" s="4">
        <f t="shared" si="2"/>
        <v>416306804.60000002</v>
      </c>
      <c r="K4" s="4">
        <v>436838.2</v>
      </c>
      <c r="L4" s="2">
        <v>953</v>
      </c>
      <c r="M4" s="5">
        <f t="shared" si="3"/>
        <v>3.3391074085515203E-3</v>
      </c>
      <c r="N4" s="4">
        <v>0</v>
      </c>
      <c r="O4" s="4">
        <v>16351992</v>
      </c>
      <c r="Q4" s="4">
        <f t="shared" si="4"/>
        <v>629610276.08000004</v>
      </c>
      <c r="R4" s="4">
        <v>330330.68</v>
      </c>
      <c r="S4" s="2">
        <v>1906</v>
      </c>
      <c r="T4" s="5">
        <f t="shared" si="5"/>
        <v>5.0499687108859137E-3</v>
      </c>
      <c r="U4" s="4">
        <v>0</v>
      </c>
      <c r="V4" s="4">
        <v>16351992</v>
      </c>
      <c r="X4" s="4">
        <f t="shared" si="6"/>
        <v>1078259757.6600001</v>
      </c>
      <c r="Y4" s="4">
        <v>113131.86</v>
      </c>
      <c r="Z4" s="2">
        <v>9531</v>
      </c>
      <c r="AA4" s="5">
        <f t="shared" si="7"/>
        <v>8.6484897805234502E-3</v>
      </c>
      <c r="AB4" s="4">
        <v>0</v>
      </c>
      <c r="AC4" s="4">
        <v>14880000</v>
      </c>
    </row>
    <row r="5" spans="1:31" s="3" customFormat="1" x14ac:dyDescent="0.2">
      <c r="A5" s="23"/>
      <c r="B5" s="17" t="s">
        <v>21</v>
      </c>
      <c r="C5" s="4">
        <f t="shared" si="0"/>
        <v>6505874930</v>
      </c>
      <c r="D5" s="4">
        <v>34241447</v>
      </c>
      <c r="E5" s="8">
        <v>190</v>
      </c>
      <c r="F5" s="5">
        <f t="shared" si="1"/>
        <v>5.2182224594540298E-2</v>
      </c>
      <c r="G5" s="4">
        <v>14834048</v>
      </c>
      <c r="H5" s="4">
        <v>305226720</v>
      </c>
      <c r="I5" s="15"/>
      <c r="J5" s="4">
        <f t="shared" si="2"/>
        <v>12600999224.27</v>
      </c>
      <c r="K5" s="4">
        <v>13222454.59</v>
      </c>
      <c r="L5" s="2">
        <v>953</v>
      </c>
      <c r="M5" s="5">
        <f t="shared" si="3"/>
        <v>0.10106990661692374</v>
      </c>
      <c r="N5" s="4">
        <v>5186506</v>
      </c>
      <c r="O5" s="4">
        <v>305226720</v>
      </c>
      <c r="Q5" s="4">
        <f t="shared" si="4"/>
        <v>16441366327.099998</v>
      </c>
      <c r="R5" s="4">
        <v>8626110.3499999996</v>
      </c>
      <c r="S5" s="2">
        <v>1906</v>
      </c>
      <c r="T5" s="5">
        <f t="shared" si="5"/>
        <v>0.13187266579098597</v>
      </c>
      <c r="U5" s="4">
        <v>3262983.5</v>
      </c>
      <c r="V5" s="4">
        <v>305226720</v>
      </c>
      <c r="X5" s="4">
        <f t="shared" si="6"/>
        <v>6090776495.5500002</v>
      </c>
      <c r="Y5" s="4">
        <v>639049.05000000005</v>
      </c>
      <c r="Z5" s="2">
        <v>9531</v>
      </c>
      <c r="AA5" s="5">
        <f t="shared" si="7"/>
        <v>4.8852809263263408E-2</v>
      </c>
      <c r="AB5" s="4">
        <v>-10470641</v>
      </c>
      <c r="AC5" s="4">
        <v>1037379.63</v>
      </c>
    </row>
    <row r="6" spans="1:31" s="3" customFormat="1" x14ac:dyDescent="0.2">
      <c r="A6" s="23"/>
      <c r="B6" s="18" t="s">
        <v>23</v>
      </c>
      <c r="C6" s="4">
        <f t="shared" si="0"/>
        <v>84420230</v>
      </c>
      <c r="D6" s="4">
        <v>444317</v>
      </c>
      <c r="E6" s="8">
        <v>190</v>
      </c>
      <c r="F6" s="5">
        <f t="shared" si="1"/>
        <v>6.7711652154105412E-4</v>
      </c>
      <c r="G6" s="4">
        <v>0</v>
      </c>
      <c r="H6" s="4">
        <v>6742432</v>
      </c>
      <c r="I6" s="15"/>
      <c r="J6" s="4">
        <f t="shared" si="2"/>
        <v>208722629.19999999</v>
      </c>
      <c r="K6" s="4">
        <v>219016.4</v>
      </c>
      <c r="L6" s="2">
        <v>953</v>
      </c>
      <c r="M6" s="5">
        <f t="shared" si="3"/>
        <v>1.6741193509044838E-3</v>
      </c>
      <c r="N6" s="4">
        <v>0</v>
      </c>
      <c r="O6" s="4">
        <v>6742431.5</v>
      </c>
      <c r="Q6" s="4">
        <f t="shared" si="4"/>
        <v>308058812.92000002</v>
      </c>
      <c r="R6" s="4">
        <v>161625.82</v>
      </c>
      <c r="S6" s="2">
        <v>1906</v>
      </c>
      <c r="T6" s="5">
        <f t="shared" si="5"/>
        <v>2.4708735315511075E-3</v>
      </c>
      <c r="U6" s="4">
        <v>0</v>
      </c>
      <c r="V6" s="4">
        <v>6742431.5</v>
      </c>
      <c r="X6" s="4">
        <f t="shared" si="6"/>
        <v>209581924.5</v>
      </c>
      <c r="Y6" s="4">
        <v>21989.5</v>
      </c>
      <c r="Z6" s="2">
        <v>9531</v>
      </c>
      <c r="AA6" s="5">
        <f t="shared" si="7"/>
        <v>1.6810115738291618E-3</v>
      </c>
      <c r="AB6" s="4">
        <v>0</v>
      </c>
      <c r="AC6" s="4">
        <v>1902852.63</v>
      </c>
    </row>
    <row r="7" spans="1:31" s="3" customFormat="1" x14ac:dyDescent="0.2">
      <c r="A7" s="23"/>
      <c r="B7" s="18" t="s">
        <v>24</v>
      </c>
      <c r="C7" s="4">
        <f t="shared" si="0"/>
        <v>360496500</v>
      </c>
      <c r="D7" s="4">
        <v>1897350</v>
      </c>
      <c r="E7" s="8">
        <v>190</v>
      </c>
      <c r="F7" s="5">
        <f t="shared" si="1"/>
        <v>2.8914649499027023E-3</v>
      </c>
      <c r="G7" s="4">
        <v>0</v>
      </c>
      <c r="H7" s="4">
        <v>41067436</v>
      </c>
      <c r="I7" s="15"/>
      <c r="J7" s="4">
        <f t="shared" si="2"/>
        <v>1351599874</v>
      </c>
      <c r="K7" s="4">
        <v>1418258</v>
      </c>
      <c r="L7" s="2">
        <v>953</v>
      </c>
      <c r="M7" s="5">
        <f t="shared" si="3"/>
        <v>1.0840892108422436E-2</v>
      </c>
      <c r="N7" s="4">
        <v>0</v>
      </c>
      <c r="O7" s="4">
        <v>41067436</v>
      </c>
      <c r="Q7" s="4">
        <f t="shared" si="4"/>
        <v>2248344951.1000004</v>
      </c>
      <c r="R7" s="4">
        <v>1179614.3500000001</v>
      </c>
      <c r="S7" s="2">
        <v>1906</v>
      </c>
      <c r="T7" s="5">
        <f t="shared" si="5"/>
        <v>1.8033491646649431E-2</v>
      </c>
      <c r="U7" s="4">
        <v>0</v>
      </c>
      <c r="V7" s="4">
        <v>41067436</v>
      </c>
      <c r="X7" s="4">
        <f t="shared" si="6"/>
        <v>2317461982.8299999</v>
      </c>
      <c r="Y7" s="4">
        <v>243149.93</v>
      </c>
      <c r="Z7" s="2">
        <v>9531</v>
      </c>
      <c r="AA7" s="5">
        <f t="shared" si="7"/>
        <v>1.8587864503774552E-2</v>
      </c>
      <c r="AB7" s="4">
        <v>0</v>
      </c>
      <c r="AC7" s="4">
        <v>6438000</v>
      </c>
    </row>
    <row r="8" spans="1:31" s="3" customFormat="1" x14ac:dyDescent="0.2">
      <c r="A8" s="23"/>
      <c r="B8" s="18" t="s">
        <v>25</v>
      </c>
      <c r="C8" s="4">
        <f t="shared" si="0"/>
        <v>11809070</v>
      </c>
      <c r="D8" s="4">
        <v>62153</v>
      </c>
      <c r="E8" s="8">
        <v>190</v>
      </c>
      <c r="F8" s="5">
        <f t="shared" si="1"/>
        <v>9.4718012507604107E-5</v>
      </c>
      <c r="G8" s="4">
        <v>0</v>
      </c>
      <c r="H8" s="4">
        <v>1485950</v>
      </c>
      <c r="I8" s="15"/>
      <c r="J8" s="4">
        <f t="shared" si="2"/>
        <v>68462719.480000004</v>
      </c>
      <c r="K8" s="4">
        <v>71839.16</v>
      </c>
      <c r="L8" s="2">
        <v>953</v>
      </c>
      <c r="M8" s="5">
        <f t="shared" si="3"/>
        <v>5.4912475919028606E-4</v>
      </c>
      <c r="N8" s="4">
        <v>0</v>
      </c>
      <c r="O8" s="4">
        <v>11702116.52</v>
      </c>
      <c r="Q8" s="4">
        <f t="shared" si="4"/>
        <v>121324962.38000001</v>
      </c>
      <c r="R8" s="4">
        <v>63654.23</v>
      </c>
      <c r="S8" s="2">
        <v>1906</v>
      </c>
      <c r="T8" s="5">
        <f t="shared" si="5"/>
        <v>9.7312144853010766E-4</v>
      </c>
      <c r="U8" s="4">
        <v>0</v>
      </c>
      <c r="V8" s="4">
        <v>11702116.52</v>
      </c>
      <c r="X8" s="4">
        <f t="shared" si="6"/>
        <v>272954020.05000001</v>
      </c>
      <c r="Y8" s="4">
        <v>28638.55</v>
      </c>
      <c r="Z8" s="2">
        <v>9531</v>
      </c>
      <c r="AA8" s="5">
        <f t="shared" si="7"/>
        <v>2.1893055325353074E-3</v>
      </c>
      <c r="AB8" s="4">
        <v>0</v>
      </c>
      <c r="AC8" s="4">
        <v>740395.84</v>
      </c>
    </row>
    <row r="9" spans="1:31" s="3" customFormat="1" x14ac:dyDescent="0.2">
      <c r="A9" s="23"/>
      <c r="B9" s="18" t="s">
        <v>26</v>
      </c>
      <c r="C9" s="4">
        <f>+D9*E9</f>
        <v>2065118740</v>
      </c>
      <c r="D9" s="4">
        <v>10869046</v>
      </c>
      <c r="E9" s="8">
        <v>190</v>
      </c>
      <c r="F9" s="5">
        <f t="shared" si="1"/>
        <v>1.656387358572755E-2</v>
      </c>
      <c r="G9" s="4">
        <v>0</v>
      </c>
      <c r="H9" s="4">
        <v>151448537</v>
      </c>
      <c r="I9" s="15"/>
      <c r="J9" s="4">
        <f t="shared" si="2"/>
        <v>3419266546.2200003</v>
      </c>
      <c r="K9" s="4">
        <v>3587897.74</v>
      </c>
      <c r="L9" s="2">
        <v>953</v>
      </c>
      <c r="M9" s="5">
        <f t="shared" si="3"/>
        <v>2.7425202110894279E-2</v>
      </c>
      <c r="N9" s="4">
        <v>0</v>
      </c>
      <c r="O9" s="4">
        <v>151448536.5</v>
      </c>
      <c r="Q9" s="4">
        <f t="shared" si="4"/>
        <v>4002463454.1599998</v>
      </c>
      <c r="R9" s="4">
        <v>2099928.36</v>
      </c>
      <c r="S9" s="2">
        <v>1906</v>
      </c>
      <c r="T9" s="5">
        <f t="shared" si="5"/>
        <v>3.2102899170921607E-2</v>
      </c>
      <c r="U9" s="4">
        <v>0</v>
      </c>
      <c r="V9" s="4">
        <v>151448536.5</v>
      </c>
      <c r="X9" s="4">
        <f t="shared" si="6"/>
        <v>353597812.56</v>
      </c>
      <c r="Y9" s="4">
        <v>37099.760000000002</v>
      </c>
      <c r="Z9" s="2">
        <v>9531</v>
      </c>
      <c r="AA9" s="5">
        <f t="shared" si="7"/>
        <v>2.8361320605872885E-3</v>
      </c>
      <c r="AB9" s="4">
        <v>0</v>
      </c>
      <c r="AC9" s="4">
        <v>2150000</v>
      </c>
    </row>
    <row r="10" spans="1:31" s="3" customFormat="1" x14ac:dyDescent="0.2"/>
    <row r="11" spans="1:31" s="3" customFormat="1" x14ac:dyDescent="0.2"/>
    <row r="12" spans="1:31" s="3" customFormat="1" x14ac:dyDescent="0.2"/>
    <row r="13" spans="1:31" s="3" customFormat="1" x14ac:dyDescent="0.2"/>
    <row r="14" spans="1:31" s="3" customFormat="1" x14ac:dyDescent="0.2"/>
    <row r="15" spans="1:31" s="3" customFormat="1" x14ac:dyDescent="0.2"/>
    <row r="16" spans="1:31" s="3" customFormat="1" x14ac:dyDescent="0.2"/>
    <row r="17" s="3" customFormat="1" x14ac:dyDescent="0.2"/>
    <row r="18" s="3" customFormat="1" x14ac:dyDescent="0.2"/>
    <row r="19" s="3" customFormat="1" x14ac:dyDescent="0.2"/>
    <row r="20" s="3" customFormat="1" x14ac:dyDescent="0.2"/>
    <row r="21" s="3" customFormat="1" x14ac:dyDescent="0.2"/>
    <row r="22" s="3" customFormat="1" x14ac:dyDescent="0.2"/>
    <row r="23" s="3" customFormat="1" x14ac:dyDescent="0.2"/>
    <row r="24" s="3" customFormat="1" x14ac:dyDescent="0.2"/>
    <row r="25" s="3" customFormat="1" x14ac:dyDescent="0.2"/>
    <row r="26" s="3" customFormat="1" x14ac:dyDescent="0.2"/>
    <row r="27" s="3" customFormat="1" x14ac:dyDescent="0.2"/>
    <row r="28" s="3" customFormat="1" x14ac:dyDescent="0.2"/>
    <row r="29" s="3" customFormat="1" x14ac:dyDescent="0.2"/>
    <row r="30" s="3" customFormat="1" x14ac:dyDescent="0.2"/>
    <row r="31" s="3" customFormat="1" x14ac:dyDescent="0.2"/>
    <row r="32" s="3" customFormat="1" x14ac:dyDescent="0.2"/>
    <row r="33" s="3" customFormat="1" x14ac:dyDescent="0.2"/>
    <row r="34" s="3" customFormat="1" x14ac:dyDescent="0.2"/>
    <row r="35" s="3" customFormat="1" x14ac:dyDescent="0.2"/>
    <row r="36" s="3" customFormat="1" x14ac:dyDescent="0.2"/>
    <row r="37" s="3" customFormat="1" x14ac:dyDescent="0.2"/>
    <row r="38" s="3" customFormat="1" x14ac:dyDescent="0.2"/>
    <row r="39" s="3" customFormat="1" x14ac:dyDescent="0.2"/>
    <row r="40" s="3" customFormat="1" x14ac:dyDescent="0.2"/>
    <row r="41" s="3" customFormat="1" x14ac:dyDescent="0.2"/>
    <row r="42" s="3" customFormat="1" x14ac:dyDescent="0.2"/>
    <row r="43" s="3" customFormat="1" x14ac:dyDescent="0.2"/>
    <row r="44" s="3" customFormat="1" x14ac:dyDescent="0.2"/>
    <row r="45" s="3" customFormat="1" x14ac:dyDescent="0.2"/>
    <row r="46" s="3" customFormat="1" x14ac:dyDescent="0.2"/>
    <row r="47" s="3" customFormat="1" x14ac:dyDescent="0.2"/>
    <row r="48" s="3" customFormat="1" x14ac:dyDescent="0.2"/>
    <row r="49" s="3" customFormat="1" x14ac:dyDescent="0.2"/>
    <row r="50" s="3" customFormat="1" x14ac:dyDescent="0.2"/>
    <row r="51" s="3" customFormat="1" x14ac:dyDescent="0.2"/>
    <row r="52" s="3" customFormat="1" x14ac:dyDescent="0.2"/>
    <row r="53" s="3" customFormat="1" x14ac:dyDescent="0.2"/>
    <row r="54" s="3" customFormat="1" x14ac:dyDescent="0.2"/>
    <row r="55" s="3" customFormat="1" x14ac:dyDescent="0.2"/>
    <row r="56" s="3" customFormat="1" x14ac:dyDescent="0.2"/>
    <row r="57" s="3" customFormat="1" x14ac:dyDescent="0.2"/>
    <row r="58" s="3" customFormat="1" x14ac:dyDescent="0.2"/>
    <row r="59" s="3" customFormat="1" x14ac:dyDescent="0.2"/>
    <row r="60" s="3" customFormat="1" x14ac:dyDescent="0.2"/>
    <row r="61" s="3" customFormat="1" x14ac:dyDescent="0.2"/>
    <row r="62" s="3" customFormat="1" x14ac:dyDescent="0.2"/>
    <row r="63" s="3" customFormat="1" x14ac:dyDescent="0.2"/>
    <row r="64" s="3" customFormat="1" x14ac:dyDescent="0.2"/>
    <row r="65" s="3" customFormat="1" x14ac:dyDescent="0.2"/>
    <row r="66" s="3" customFormat="1" x14ac:dyDescent="0.2"/>
    <row r="67" s="3" customFormat="1" x14ac:dyDescent="0.2"/>
    <row r="68" s="3" customFormat="1" x14ac:dyDescent="0.2"/>
    <row r="69" s="3" customFormat="1" x14ac:dyDescent="0.2"/>
    <row r="70" s="3" customFormat="1" x14ac:dyDescent="0.2"/>
    <row r="71" s="3" customFormat="1" x14ac:dyDescent="0.2"/>
    <row r="72" s="3" customFormat="1" x14ac:dyDescent="0.2"/>
    <row r="73" s="3" customFormat="1" x14ac:dyDescent="0.2"/>
    <row r="74" s="3" customFormat="1" x14ac:dyDescent="0.2"/>
    <row r="75" s="3" customFormat="1" x14ac:dyDescent="0.2"/>
    <row r="76" s="3" customFormat="1" x14ac:dyDescent="0.2"/>
    <row r="77" s="3" customFormat="1" x14ac:dyDescent="0.2"/>
    <row r="78" s="3" customFormat="1" x14ac:dyDescent="0.2"/>
    <row r="79" s="3" customFormat="1" x14ac:dyDescent="0.2"/>
    <row r="80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</sheetData>
  <mergeCells count="7">
    <mergeCell ref="X1:AC1"/>
    <mergeCell ref="AD1:AD2"/>
    <mergeCell ref="AE1:AE2"/>
    <mergeCell ref="A1:H1"/>
    <mergeCell ref="A3:A9"/>
    <mergeCell ref="J1:O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 ingreso</vt:lpstr>
      <vt:lpstr>Ingresos de trabajo</vt:lpstr>
      <vt:lpstr>Ingresos de capital</vt:lpstr>
      <vt:lpstr>PATRIMONIO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Ruthy Intriago</dc:creator>
  <cp:lastModifiedBy>(Estudiante) Santiago Andres Valdivieso Puertas</cp:lastModifiedBy>
  <dcterms:created xsi:type="dcterms:W3CDTF">2025-10-08T15:58:28Z</dcterms:created>
  <dcterms:modified xsi:type="dcterms:W3CDTF">2026-02-04T16:54:45Z</dcterms:modified>
</cp:coreProperties>
</file>